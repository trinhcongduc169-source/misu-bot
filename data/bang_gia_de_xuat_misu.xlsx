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73b3cd9ce01a8ac/Máy tính/bán hàng online/Tài liệu/"/>
    </mc:Choice>
  </mc:AlternateContent>
  <xr:revisionPtr revIDLastSave="0" documentId="8_{6B6062BF-BE15-4936-B49F-B230C0F3D3CD}" xr6:coauthVersionLast="47" xr6:coauthVersionMax="47" xr10:uidLastSave="{00000000-0000-0000-0000-000000000000}"/>
  <bookViews>
    <workbookView xWindow="-108" yWindow="-108" windowWidth="23256" windowHeight="12456" xr2:uid="{16034711-CB6B-4958-9324-5F0A5902E5B0}"/>
  </bookViews>
  <sheets>
    <sheet name="3 - Giá Bán Đề Xuất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1" l="1"/>
  <c r="V33" i="1"/>
  <c r="U33" i="1"/>
  <c r="T33" i="1"/>
  <c r="S33" i="1"/>
  <c r="O33" i="1"/>
  <c r="N33" i="1"/>
  <c r="M33" i="1"/>
  <c r="L33" i="1"/>
  <c r="K33" i="1"/>
  <c r="G33" i="1"/>
  <c r="F33" i="1"/>
  <c r="E33" i="1"/>
  <c r="D33" i="1"/>
  <c r="C33" i="1"/>
  <c r="W32" i="1"/>
  <c r="V32" i="1"/>
  <c r="U32" i="1"/>
  <c r="T32" i="1"/>
  <c r="S32" i="1"/>
  <c r="O32" i="1"/>
  <c r="N32" i="1"/>
  <c r="M32" i="1"/>
  <c r="L32" i="1"/>
  <c r="K32" i="1"/>
  <c r="G32" i="1"/>
  <c r="F32" i="1"/>
  <c r="E32" i="1"/>
  <c r="D32" i="1"/>
  <c r="C32" i="1"/>
  <c r="W31" i="1"/>
  <c r="V31" i="1"/>
  <c r="U31" i="1"/>
  <c r="T31" i="1"/>
  <c r="S31" i="1"/>
  <c r="O31" i="1"/>
  <c r="N31" i="1"/>
  <c r="M31" i="1"/>
  <c r="L31" i="1"/>
  <c r="K31" i="1"/>
  <c r="G31" i="1"/>
  <c r="F31" i="1"/>
  <c r="E31" i="1"/>
  <c r="D31" i="1"/>
  <c r="C31" i="1"/>
  <c r="W30" i="1"/>
  <c r="V30" i="1"/>
  <c r="U30" i="1"/>
  <c r="T30" i="1"/>
  <c r="S30" i="1"/>
  <c r="O30" i="1"/>
  <c r="N30" i="1"/>
  <c r="M30" i="1"/>
  <c r="L30" i="1"/>
  <c r="K30" i="1"/>
  <c r="G30" i="1"/>
  <c r="F30" i="1"/>
  <c r="E30" i="1"/>
  <c r="D30" i="1"/>
  <c r="C30" i="1"/>
  <c r="W29" i="1"/>
  <c r="V29" i="1"/>
  <c r="U29" i="1"/>
  <c r="T29" i="1"/>
  <c r="S29" i="1"/>
  <c r="O29" i="1"/>
  <c r="N29" i="1"/>
  <c r="M29" i="1"/>
  <c r="L29" i="1"/>
  <c r="K29" i="1"/>
  <c r="G29" i="1"/>
  <c r="F29" i="1"/>
  <c r="E29" i="1"/>
  <c r="D29" i="1"/>
  <c r="C29" i="1"/>
  <c r="W28" i="1"/>
  <c r="V28" i="1"/>
  <c r="U28" i="1"/>
  <c r="T28" i="1"/>
  <c r="S28" i="1"/>
  <c r="O28" i="1"/>
  <c r="N28" i="1"/>
  <c r="M28" i="1"/>
  <c r="L28" i="1"/>
  <c r="K28" i="1"/>
  <c r="G28" i="1"/>
  <c r="F28" i="1"/>
  <c r="E28" i="1"/>
  <c r="D28" i="1"/>
  <c r="C28" i="1"/>
  <c r="W27" i="1"/>
  <c r="V27" i="1"/>
  <c r="U27" i="1"/>
  <c r="T27" i="1"/>
  <c r="S27" i="1"/>
  <c r="O27" i="1"/>
  <c r="N27" i="1"/>
  <c r="M27" i="1"/>
  <c r="L27" i="1"/>
  <c r="K27" i="1"/>
  <c r="G27" i="1"/>
  <c r="F27" i="1"/>
  <c r="E27" i="1"/>
  <c r="D27" i="1"/>
  <c r="C27" i="1"/>
  <c r="W22" i="1"/>
  <c r="V22" i="1"/>
  <c r="U22" i="1"/>
  <c r="T22" i="1"/>
  <c r="S22" i="1"/>
  <c r="O22" i="1"/>
  <c r="N22" i="1"/>
  <c r="M22" i="1"/>
  <c r="L22" i="1"/>
  <c r="K22" i="1"/>
  <c r="G22" i="1"/>
  <c r="F22" i="1"/>
  <c r="E22" i="1"/>
  <c r="D22" i="1"/>
  <c r="C22" i="1"/>
  <c r="W21" i="1"/>
  <c r="V21" i="1"/>
  <c r="U21" i="1"/>
  <c r="T21" i="1"/>
  <c r="S21" i="1"/>
  <c r="O21" i="1"/>
  <c r="N21" i="1"/>
  <c r="M21" i="1"/>
  <c r="L21" i="1"/>
  <c r="K21" i="1"/>
  <c r="G21" i="1"/>
  <c r="F21" i="1"/>
  <c r="E21" i="1"/>
  <c r="D21" i="1"/>
  <c r="C21" i="1"/>
  <c r="W20" i="1"/>
  <c r="V20" i="1"/>
  <c r="U20" i="1"/>
  <c r="T20" i="1"/>
  <c r="S20" i="1"/>
  <c r="O20" i="1"/>
  <c r="N20" i="1"/>
  <c r="M20" i="1"/>
  <c r="L20" i="1"/>
  <c r="K20" i="1"/>
  <c r="G20" i="1"/>
  <c r="F20" i="1"/>
  <c r="E20" i="1"/>
  <c r="D20" i="1"/>
  <c r="C20" i="1"/>
  <c r="W19" i="1"/>
  <c r="V19" i="1"/>
  <c r="U19" i="1"/>
  <c r="T19" i="1"/>
  <c r="S19" i="1"/>
  <c r="O19" i="1"/>
  <c r="N19" i="1"/>
  <c r="M19" i="1"/>
  <c r="L19" i="1"/>
  <c r="K19" i="1"/>
  <c r="G19" i="1"/>
  <c r="F19" i="1"/>
  <c r="E19" i="1"/>
  <c r="D19" i="1"/>
  <c r="C19" i="1"/>
  <c r="W18" i="1"/>
  <c r="V18" i="1"/>
  <c r="U18" i="1"/>
  <c r="T18" i="1"/>
  <c r="S18" i="1"/>
  <c r="O18" i="1"/>
  <c r="N18" i="1"/>
  <c r="M18" i="1"/>
  <c r="L18" i="1"/>
  <c r="K18" i="1"/>
  <c r="G18" i="1"/>
  <c r="F18" i="1"/>
  <c r="E18" i="1"/>
  <c r="D18" i="1"/>
  <c r="C18" i="1"/>
  <c r="W17" i="1"/>
  <c r="V17" i="1"/>
  <c r="U17" i="1"/>
  <c r="T17" i="1"/>
  <c r="S17" i="1"/>
  <c r="O17" i="1"/>
  <c r="N17" i="1"/>
  <c r="M17" i="1"/>
  <c r="L17" i="1"/>
  <c r="K17" i="1"/>
  <c r="G17" i="1"/>
  <c r="F17" i="1"/>
  <c r="E17" i="1"/>
  <c r="D17" i="1"/>
  <c r="C17" i="1"/>
  <c r="W16" i="1"/>
  <c r="V16" i="1"/>
  <c r="U16" i="1"/>
  <c r="T16" i="1"/>
  <c r="S16" i="1"/>
  <c r="O16" i="1"/>
  <c r="N16" i="1"/>
  <c r="M16" i="1"/>
  <c r="L16" i="1"/>
  <c r="K16" i="1"/>
  <c r="G16" i="1"/>
  <c r="F16" i="1"/>
  <c r="E16" i="1"/>
  <c r="D16" i="1"/>
  <c r="C16" i="1"/>
  <c r="W11" i="1"/>
  <c r="V11" i="1"/>
  <c r="U11" i="1"/>
  <c r="T11" i="1"/>
  <c r="S11" i="1"/>
  <c r="O11" i="1"/>
  <c r="N11" i="1"/>
  <c r="M11" i="1"/>
  <c r="L11" i="1"/>
  <c r="K11" i="1"/>
  <c r="G11" i="1"/>
  <c r="F11" i="1"/>
  <c r="E11" i="1"/>
  <c r="D11" i="1"/>
  <c r="C11" i="1"/>
  <c r="W10" i="1"/>
  <c r="V10" i="1"/>
  <c r="U10" i="1"/>
  <c r="T10" i="1"/>
  <c r="S10" i="1"/>
  <c r="O10" i="1"/>
  <c r="N10" i="1"/>
  <c r="M10" i="1"/>
  <c r="L10" i="1"/>
  <c r="K10" i="1"/>
  <c r="G10" i="1"/>
  <c r="F10" i="1"/>
  <c r="E10" i="1"/>
  <c r="D10" i="1"/>
  <c r="C10" i="1"/>
  <c r="W9" i="1"/>
  <c r="V9" i="1"/>
  <c r="U9" i="1"/>
  <c r="T9" i="1"/>
  <c r="S9" i="1"/>
  <c r="O9" i="1"/>
  <c r="N9" i="1"/>
  <c r="M9" i="1"/>
  <c r="L9" i="1"/>
  <c r="K9" i="1"/>
  <c r="G9" i="1"/>
  <c r="F9" i="1"/>
  <c r="E9" i="1"/>
  <c r="D9" i="1"/>
  <c r="C9" i="1"/>
  <c r="W8" i="1"/>
  <c r="V8" i="1"/>
  <c r="U8" i="1"/>
  <c r="T8" i="1"/>
  <c r="S8" i="1"/>
  <c r="O8" i="1"/>
  <c r="N8" i="1"/>
  <c r="M8" i="1"/>
  <c r="L8" i="1"/>
  <c r="K8" i="1"/>
  <c r="G8" i="1"/>
  <c r="F8" i="1"/>
  <c r="E8" i="1"/>
  <c r="D8" i="1"/>
  <c r="C8" i="1"/>
  <c r="W7" i="1"/>
  <c r="V7" i="1"/>
  <c r="U7" i="1"/>
  <c r="T7" i="1"/>
  <c r="S7" i="1"/>
  <c r="O7" i="1"/>
  <c r="N7" i="1"/>
  <c r="M7" i="1"/>
  <c r="L7" i="1"/>
  <c r="K7" i="1"/>
  <c r="G7" i="1"/>
  <c r="F7" i="1"/>
  <c r="E7" i="1"/>
  <c r="D7" i="1"/>
  <c r="C7" i="1"/>
  <c r="W6" i="1"/>
  <c r="V6" i="1"/>
  <c r="U6" i="1"/>
  <c r="T6" i="1"/>
  <c r="S6" i="1"/>
  <c r="O6" i="1"/>
  <c r="N6" i="1"/>
  <c r="M6" i="1"/>
  <c r="L6" i="1"/>
  <c r="K6" i="1"/>
  <c r="G6" i="1"/>
  <c r="F6" i="1"/>
  <c r="E6" i="1"/>
  <c r="D6" i="1"/>
  <c r="C6" i="1"/>
  <c r="W5" i="1"/>
  <c r="V5" i="1"/>
  <c r="U5" i="1"/>
  <c r="T5" i="1"/>
  <c r="S5" i="1"/>
  <c r="O5" i="1"/>
  <c r="N5" i="1"/>
  <c r="M5" i="1"/>
  <c r="L5" i="1"/>
  <c r="K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<sst xmlns="http://schemas.openxmlformats.org/spreadsheetml/2006/main" count="67" uniqueCount="19">
  <si>
    <t>BẢNG GIÁ BÁN ĐỀ XUẤT — TỰ ĐỘNG TÍNH THEO % LỢI NHUẬN</t>
  </si>
  <si>
    <t>Phí ship (VNĐ):</t>
  </si>
  <si>
    <t>Lợi nhuận mục tiêu:</t>
  </si>
  <si>
    <t>← Chỉnh 2 ô vàng</t>
  </si>
  <si>
    <t>CAO 50 CM</t>
  </si>
  <si>
    <t>CAO 70 CM</t>
  </si>
  <si>
    <t>CAO 90 CM</t>
  </si>
  <si>
    <t>Dài</t>
  </si>
  <si>
    <t>Sâu 30</t>
  </si>
  <si>
    <t>Sâu 35</t>
  </si>
  <si>
    <t>Sâu 40</t>
  </si>
  <si>
    <t>Sâu 45</t>
  </si>
  <si>
    <t>Sâu 50</t>
  </si>
  <si>
    <t>CAO 110 CM</t>
  </si>
  <si>
    <t>CAO 130 CM</t>
  </si>
  <si>
    <t>CAO 150 CM</t>
  </si>
  <si>
    <t>CAO 170 CM</t>
  </si>
  <si>
    <t>CAO 190 CM</t>
  </si>
  <si>
    <t>CAO 210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</si>
</sst>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374151"/>
      <name val="Arial"/>
      <charset val="1"/>
    </font>
    <font>
      <b/>
      <sz val="12"/>
      <color rgb="FF0D47A1"/>
      <name val="Arial"/>
      <charset val="1"/>
    </font>
    <font>
      <i/>
      <sz val="9"/>
      <color rgb="FF5C6BC0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1B5E20"/>
      <name val="Arial"/>
      <charset val="1"/>
    </font>
    <font>
      <sz val="1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D47A1"/>
      </patternFill>
    </fill>
    <fill>
      <patternFill patternType="solid">
        <fgColor rgb="FFF3F4F6"/>
        <bgColor rgb="FFF5F5F5"/>
      </patternFill>
    </fill>
    <fill>
      <patternFill patternType="solid">
        <fgColor rgb="FFFFFDE7"/>
        <bgColor rgb="FFFAFAFA"/>
      </patternFill>
    </fill>
    <fill>
      <patternFill patternType="solid">
        <fgColor rgb="FFEDE7F6"/>
        <bgColor rgb="FFEFEBE9"/>
      </patternFill>
    </fill>
    <fill>
      <patternFill patternType="solid">
        <fgColor rgb="FFFAFAFA"/>
        <bgColor rgb="FFFFFFFF"/>
      </patternFill>
    </fill>
    <fill>
      <patternFill patternType="solid">
        <fgColor rgb="FF2E75B6"/>
        <bgColor rgb="FF5C6BC0"/>
      </patternFill>
    </fill>
    <fill>
      <patternFill patternType="solid">
        <fgColor rgb="FF1A3A5C"/>
        <bgColor rgb="FF374151"/>
      </patternFill>
    </fill>
    <fill>
      <patternFill patternType="solid">
        <fgColor rgb="FFEBF3FB"/>
        <bgColor rgb="FFF0F4FF"/>
      </patternFill>
    </fill>
    <fill>
      <patternFill patternType="solid">
        <fgColor rgb="FFE8F5E9"/>
        <bgColor rgb="FFEBF3FB"/>
      </patternFill>
    </fill>
    <fill>
      <patternFill patternType="solid">
        <fgColor rgb="FFFFFFFF"/>
        <bgColor rgb="FFFAFAFA"/>
      </patternFill>
    </fill>
  </fills>
  <borders count="3">
    <border>
      <left/>
      <right/>
      <top/>
      <bottom/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6" borderId="0" xfId="0" applyFill="1"/>
    <xf numFmtId="0" fontId="5" fillId="7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3" fontId="8" fillId="10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9" fillId="6" borderId="0" xfId="0" applyFont="1" applyFill="1"/>
    <xf numFmtId="0" fontId="9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73b3cd9ce01a8ac/M&#225;y%20t&#237;nh/b&#225;n%20h&#224;ng%20online/T&#224;i%20li&#7879;u/ke_module_gia_4.xlsx" TargetMode="External"/><Relationship Id="rId1" Type="http://schemas.openxmlformats.org/officeDocument/2006/relationships/externalLinkPath" Target="ke_module_gia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- Giá Nhập (Yên)"/>
      <sheetName val="2 - Quy đổi VNĐ"/>
      <sheetName val="3 - Giá Bán Đề Xuất"/>
      <sheetName val="4 - So Sánh Đối Thủ"/>
      <sheetName val="5 - Tính Lợi Nhuận"/>
    </sheetNames>
    <sheetDataSet>
      <sheetData sheetId="0"/>
      <sheetData sheetId="1">
        <row r="7"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K7" t="str">
            <v/>
          </cell>
          <cell r="L7" t="str">
            <v/>
          </cell>
          <cell r="M7" t="str">
            <v/>
          </cell>
          <cell r="N7" t="str">
            <v/>
          </cell>
          <cell r="O7" t="str">
            <v/>
          </cell>
          <cell r="S7">
            <v>301088</v>
          </cell>
          <cell r="T7">
            <v>353080</v>
          </cell>
          <cell r="U7">
            <v>349200</v>
          </cell>
          <cell r="V7">
            <v>597520</v>
          </cell>
          <cell r="W7">
            <v>675120</v>
          </cell>
        </row>
        <row r="8"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K8" t="str">
            <v/>
          </cell>
          <cell r="L8" t="str">
            <v/>
          </cell>
          <cell r="M8" t="str">
            <v/>
          </cell>
          <cell r="N8" t="str">
            <v/>
          </cell>
          <cell r="O8" t="str">
            <v/>
          </cell>
          <cell r="S8">
            <v>325920</v>
          </cell>
          <cell r="T8">
            <v>356960</v>
          </cell>
          <cell r="U8">
            <v>376360</v>
          </cell>
          <cell r="V8">
            <v>601400</v>
          </cell>
          <cell r="W8">
            <v>764360</v>
          </cell>
        </row>
        <row r="9"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S9">
            <v>353080</v>
          </cell>
          <cell r="T9">
            <v>388000</v>
          </cell>
          <cell r="U9">
            <v>415160</v>
          </cell>
          <cell r="V9">
            <v>655720</v>
          </cell>
          <cell r="W9">
            <v>865240</v>
          </cell>
        </row>
        <row r="10"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K10" t="str">
            <v/>
          </cell>
          <cell r="L10" t="str">
            <v/>
          </cell>
          <cell r="M10" t="str">
            <v/>
          </cell>
          <cell r="N10" t="str">
            <v/>
          </cell>
          <cell r="O10" t="str">
            <v/>
          </cell>
          <cell r="S10">
            <v>376360</v>
          </cell>
          <cell r="T10">
            <v>415160</v>
          </cell>
          <cell r="U10">
            <v>438440</v>
          </cell>
          <cell r="V10">
            <v>647960</v>
          </cell>
          <cell r="W10">
            <v>935080</v>
          </cell>
        </row>
        <row r="11"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K11" t="str">
            <v/>
          </cell>
          <cell r="L11" t="str">
            <v/>
          </cell>
          <cell r="M11" t="str">
            <v/>
          </cell>
          <cell r="N11" t="str">
            <v/>
          </cell>
          <cell r="O11" t="str">
            <v/>
          </cell>
          <cell r="S11">
            <v>570360</v>
          </cell>
          <cell r="T11">
            <v>628560</v>
          </cell>
          <cell r="U11">
            <v>585880</v>
          </cell>
          <cell r="V11">
            <v>787640</v>
          </cell>
          <cell r="W11">
            <v>1098040</v>
          </cell>
        </row>
        <row r="12"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S12">
            <v>628560</v>
          </cell>
          <cell r="T12">
            <v>690640</v>
          </cell>
          <cell r="U12">
            <v>647960</v>
          </cell>
          <cell r="V12">
            <v>799280</v>
          </cell>
          <cell r="W12">
            <v>1226080</v>
          </cell>
        </row>
        <row r="18">
          <cell r="C18">
            <v>415160</v>
          </cell>
          <cell r="D18">
            <v>430680</v>
          </cell>
          <cell r="E18">
            <v>438440</v>
          </cell>
          <cell r="F18">
            <v>721680</v>
          </cell>
          <cell r="G18">
            <v>834200</v>
          </cell>
          <cell r="K18">
            <v>415160</v>
          </cell>
          <cell r="L18">
            <v>457840</v>
          </cell>
          <cell r="M18">
            <v>457840</v>
          </cell>
          <cell r="N18">
            <v>752720</v>
          </cell>
          <cell r="O18">
            <v>950600</v>
          </cell>
          <cell r="S18">
            <v>504400</v>
          </cell>
          <cell r="T18">
            <v>554840</v>
          </cell>
          <cell r="U18">
            <v>550960</v>
          </cell>
          <cell r="V18">
            <v>884640</v>
          </cell>
          <cell r="W18">
            <v>1171760</v>
          </cell>
        </row>
        <row r="19">
          <cell r="C19">
            <v>434560</v>
          </cell>
          <cell r="D19">
            <v>457840</v>
          </cell>
          <cell r="E19">
            <v>481120</v>
          </cell>
          <cell r="F19">
            <v>721680</v>
          </cell>
          <cell r="G19">
            <v>853600</v>
          </cell>
          <cell r="K19">
            <v>434560</v>
          </cell>
          <cell r="L19">
            <v>477240</v>
          </cell>
          <cell r="M19">
            <v>500520</v>
          </cell>
          <cell r="N19">
            <v>756600</v>
          </cell>
          <cell r="O19">
            <v>954480</v>
          </cell>
          <cell r="S19">
            <v>527680</v>
          </cell>
          <cell r="T19">
            <v>582000</v>
          </cell>
          <cell r="U19">
            <v>585880</v>
          </cell>
          <cell r="V19">
            <v>900160</v>
          </cell>
          <cell r="W19">
            <v>1237720</v>
          </cell>
        </row>
        <row r="20">
          <cell r="C20">
            <v>465600</v>
          </cell>
          <cell r="D20">
            <v>485000</v>
          </cell>
          <cell r="E20">
            <v>527680</v>
          </cell>
          <cell r="F20">
            <v>803160</v>
          </cell>
          <cell r="G20">
            <v>935080</v>
          </cell>
          <cell r="K20">
            <v>465600</v>
          </cell>
          <cell r="L20">
            <v>512160</v>
          </cell>
          <cell r="M20">
            <v>547080</v>
          </cell>
          <cell r="N20">
            <v>841960</v>
          </cell>
          <cell r="O20">
            <v>1059240</v>
          </cell>
          <cell r="S20">
            <v>554840</v>
          </cell>
          <cell r="T20">
            <v>609160</v>
          </cell>
          <cell r="U20">
            <v>663480</v>
          </cell>
          <cell r="V20">
            <v>1001040</v>
          </cell>
          <cell r="W20">
            <v>1365760</v>
          </cell>
        </row>
        <row r="21">
          <cell r="C21">
            <v>500520</v>
          </cell>
          <cell r="D21">
            <v>527680</v>
          </cell>
          <cell r="E21">
            <v>562600</v>
          </cell>
          <cell r="F21">
            <v>810920</v>
          </cell>
          <cell r="G21">
            <v>1012680</v>
          </cell>
          <cell r="K21">
            <v>500520</v>
          </cell>
          <cell r="L21">
            <v>550960</v>
          </cell>
          <cell r="M21">
            <v>566480</v>
          </cell>
          <cell r="N21">
            <v>845840</v>
          </cell>
          <cell r="O21">
            <v>1070880</v>
          </cell>
          <cell r="S21">
            <v>613040</v>
          </cell>
          <cell r="T21">
            <v>675120</v>
          </cell>
          <cell r="U21">
            <v>686760</v>
          </cell>
          <cell r="V21">
            <v>1008800</v>
          </cell>
          <cell r="W21">
            <v>1431720</v>
          </cell>
        </row>
        <row r="22">
          <cell r="C22">
            <v>682880</v>
          </cell>
          <cell r="D22">
            <v>729440</v>
          </cell>
          <cell r="E22">
            <v>772120</v>
          </cell>
          <cell r="F22">
            <v>966120</v>
          </cell>
          <cell r="G22">
            <v>1129080</v>
          </cell>
          <cell r="K22">
            <v>682880</v>
          </cell>
          <cell r="L22">
            <v>752720</v>
          </cell>
          <cell r="M22">
            <v>799280</v>
          </cell>
          <cell r="N22">
            <v>1008800</v>
          </cell>
          <cell r="O22">
            <v>1315320</v>
          </cell>
          <cell r="S22">
            <v>826440</v>
          </cell>
          <cell r="T22">
            <v>907920</v>
          </cell>
          <cell r="U22">
            <v>966120</v>
          </cell>
          <cell r="V22">
            <v>1202800</v>
          </cell>
          <cell r="W22">
            <v>1652880</v>
          </cell>
        </row>
        <row r="23">
          <cell r="C23">
            <v>710040</v>
          </cell>
          <cell r="D23">
            <v>752720</v>
          </cell>
          <cell r="E23">
            <v>795400</v>
          </cell>
          <cell r="F23">
            <v>977760</v>
          </cell>
          <cell r="G23">
            <v>1249360</v>
          </cell>
          <cell r="K23">
            <v>710040</v>
          </cell>
          <cell r="L23">
            <v>779880</v>
          </cell>
          <cell r="M23">
            <v>818680</v>
          </cell>
          <cell r="N23">
            <v>1004920</v>
          </cell>
          <cell r="O23">
            <v>1462760</v>
          </cell>
          <cell r="S23">
            <v>873000</v>
          </cell>
          <cell r="T23">
            <v>962240</v>
          </cell>
          <cell r="U23">
            <v>985520</v>
          </cell>
          <cell r="V23">
            <v>1222200</v>
          </cell>
          <cell r="W23">
            <v>1788680</v>
          </cell>
        </row>
        <row r="29">
          <cell r="C29">
            <v>535440</v>
          </cell>
          <cell r="D29">
            <v>589760</v>
          </cell>
          <cell r="E29">
            <v>570360</v>
          </cell>
          <cell r="F29">
            <v>962240</v>
          </cell>
          <cell r="G29">
            <v>1109680</v>
          </cell>
          <cell r="K29">
            <v>574240</v>
          </cell>
          <cell r="L29">
            <v>632440</v>
          </cell>
          <cell r="M29">
            <v>659600</v>
          </cell>
          <cell r="N29">
            <v>1117440</v>
          </cell>
          <cell r="O29">
            <v>1326960</v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</row>
        <row r="30">
          <cell r="C30">
            <v>562600</v>
          </cell>
          <cell r="D30">
            <v>620800</v>
          </cell>
          <cell r="E30">
            <v>620800</v>
          </cell>
          <cell r="F30">
            <v>977760</v>
          </cell>
          <cell r="G30">
            <v>1129080</v>
          </cell>
          <cell r="K30">
            <v>620800</v>
          </cell>
          <cell r="L30">
            <v>682880</v>
          </cell>
          <cell r="M30">
            <v>702280</v>
          </cell>
          <cell r="N30">
            <v>1121320</v>
          </cell>
          <cell r="O30">
            <v>1346360</v>
          </cell>
          <cell r="S30" t="str">
            <v/>
          </cell>
          <cell r="T30" t="str">
            <v/>
          </cell>
          <cell r="U30" t="str">
            <v/>
          </cell>
          <cell r="V30" t="str">
            <v/>
          </cell>
          <cell r="W30" t="str">
            <v/>
          </cell>
        </row>
        <row r="31">
          <cell r="C31">
            <v>585880</v>
          </cell>
          <cell r="D31">
            <v>644080</v>
          </cell>
          <cell r="E31">
            <v>682880</v>
          </cell>
          <cell r="F31">
            <v>1078640</v>
          </cell>
          <cell r="G31">
            <v>1229960</v>
          </cell>
          <cell r="K31">
            <v>659600</v>
          </cell>
          <cell r="L31">
            <v>725560</v>
          </cell>
          <cell r="M31">
            <v>791520</v>
          </cell>
          <cell r="N31">
            <v>1229960</v>
          </cell>
          <cell r="O31">
            <v>1462760</v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</row>
        <row r="32">
          <cell r="C32">
            <v>628560</v>
          </cell>
          <cell r="D32">
            <v>690640</v>
          </cell>
          <cell r="E32">
            <v>717800</v>
          </cell>
          <cell r="F32">
            <v>1086400</v>
          </cell>
          <cell r="G32">
            <v>1338600</v>
          </cell>
          <cell r="K32">
            <v>706160</v>
          </cell>
          <cell r="L32">
            <v>776000</v>
          </cell>
          <cell r="M32">
            <v>822560</v>
          </cell>
          <cell r="N32">
            <v>1249360</v>
          </cell>
          <cell r="O32">
            <v>1532600</v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</row>
        <row r="33">
          <cell r="C33">
            <v>826440</v>
          </cell>
          <cell r="D33">
            <v>907920</v>
          </cell>
          <cell r="E33">
            <v>950600</v>
          </cell>
          <cell r="F33">
            <v>1288160</v>
          </cell>
          <cell r="G33">
            <v>1559760</v>
          </cell>
          <cell r="K33">
            <v>938960</v>
          </cell>
          <cell r="L33">
            <v>1032080</v>
          </cell>
          <cell r="M33">
            <v>1109680</v>
          </cell>
          <cell r="N33">
            <v>1482160</v>
          </cell>
          <cell r="O33">
            <v>1749880</v>
          </cell>
          <cell r="S33" t="str">
            <v/>
          </cell>
          <cell r="T33" t="str">
            <v/>
          </cell>
          <cell r="U33" t="str">
            <v/>
          </cell>
          <cell r="V33" t="str">
            <v/>
          </cell>
          <cell r="W33" t="str">
            <v/>
          </cell>
        </row>
        <row r="34">
          <cell r="C34">
            <v>857480</v>
          </cell>
          <cell r="D34">
            <v>942840</v>
          </cell>
          <cell r="E34">
            <v>970000</v>
          </cell>
          <cell r="F34">
            <v>1303680</v>
          </cell>
          <cell r="G34">
            <v>1699440</v>
          </cell>
          <cell r="K34">
            <v>985520</v>
          </cell>
          <cell r="L34">
            <v>1082520</v>
          </cell>
          <cell r="M34">
            <v>1136840</v>
          </cell>
          <cell r="N34">
            <v>1497680</v>
          </cell>
          <cell r="O34">
            <v>1912840</v>
          </cell>
          <cell r="S34" t="str">
            <v/>
          </cell>
          <cell r="T34" t="str">
            <v/>
          </cell>
          <cell r="U34" t="str">
            <v/>
          </cell>
          <cell r="V34" t="str">
            <v/>
          </cell>
          <cell r="W34" t="str">
            <v/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CA0D-B33A-4F27-B21D-378A82CF4924}">
  <dimension ref="A1:W92"/>
  <sheetViews>
    <sheetView showGridLines="0" tabSelected="1" zoomScaleNormal="100" workbookViewId="0">
      <selection activeCell="M6" sqref="M6"/>
    </sheetView>
  </sheetViews>
  <sheetFormatPr defaultColWidth="8.6640625" defaultRowHeight="14.4" x14ac:dyDescent="0.3"/>
  <cols>
    <col min="1" max="1" width="0.5546875" customWidth="1"/>
    <col min="2" max="2" width="8" customWidth="1"/>
    <col min="3" max="7" width="11" customWidth="1"/>
    <col min="8" max="8" width="1.5546875" customWidth="1"/>
    <col min="9" max="9" width="0.5546875" customWidth="1"/>
    <col min="10" max="10" width="8" customWidth="1"/>
    <col min="11" max="15" width="11" customWidth="1"/>
    <col min="16" max="16" width="1.5546875" customWidth="1"/>
    <col min="17" max="17" width="0.5546875" customWidth="1"/>
    <col min="18" max="18" width="8" customWidth="1"/>
    <col min="19" max="23" width="11" customWidth="1"/>
  </cols>
  <sheetData>
    <row r="1" spans="1:23" ht="27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4" customHeight="1" x14ac:dyDescent="0.3">
      <c r="A2" s="2" t="s">
        <v>1</v>
      </c>
      <c r="B2" s="2"/>
      <c r="C2" s="2"/>
      <c r="D2" s="3">
        <v>8000</v>
      </c>
      <c r="E2" s="2" t="s">
        <v>2</v>
      </c>
      <c r="F2" s="2"/>
      <c r="G2" s="2"/>
      <c r="H2" s="4">
        <v>0.48</v>
      </c>
      <c r="I2" s="5" t="s">
        <v>3</v>
      </c>
      <c r="J2" s="5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21.75" customHeight="1" x14ac:dyDescent="0.3">
      <c r="A3" s="7" t="s">
        <v>4</v>
      </c>
      <c r="B3" s="7"/>
      <c r="C3" s="7"/>
      <c r="D3" s="7"/>
      <c r="E3" s="7"/>
      <c r="F3" s="7"/>
      <c r="G3" s="7"/>
      <c r="H3" s="6"/>
      <c r="I3" s="7" t="s">
        <v>5</v>
      </c>
      <c r="J3" s="7"/>
      <c r="K3" s="7"/>
      <c r="L3" s="7"/>
      <c r="M3" s="7"/>
      <c r="N3" s="7"/>
      <c r="O3" s="7"/>
      <c r="P3" s="6"/>
      <c r="Q3" s="7" t="s">
        <v>6</v>
      </c>
      <c r="R3" s="7"/>
      <c r="S3" s="7"/>
      <c r="T3" s="7"/>
      <c r="U3" s="7"/>
      <c r="V3" s="7"/>
      <c r="W3" s="7"/>
    </row>
    <row r="4" spans="1:23" ht="19.5" customHeight="1" x14ac:dyDescent="0.3">
      <c r="A4" s="8"/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6"/>
      <c r="I4" s="8"/>
      <c r="J4" s="9" t="s">
        <v>7</v>
      </c>
      <c r="K4" s="9" t="s">
        <v>8</v>
      </c>
      <c r="L4" s="9" t="s">
        <v>9</v>
      </c>
      <c r="M4" s="9" t="s">
        <v>10</v>
      </c>
      <c r="N4" s="9" t="s">
        <v>11</v>
      </c>
      <c r="O4" s="9" t="s">
        <v>12</v>
      </c>
      <c r="P4" s="6"/>
      <c r="Q4" s="8"/>
      <c r="R4" s="9" t="s">
        <v>7</v>
      </c>
      <c r="S4" s="9" t="s">
        <v>8</v>
      </c>
      <c r="T4" s="9" t="s">
        <v>9</v>
      </c>
      <c r="U4" s="9" t="s">
        <v>10</v>
      </c>
      <c r="V4" s="9" t="s">
        <v>11</v>
      </c>
      <c r="W4" s="9" t="s">
        <v>12</v>
      </c>
    </row>
    <row r="5" spans="1:23" ht="19.5" customHeight="1" x14ac:dyDescent="0.3">
      <c r="A5" s="10"/>
      <c r="B5" s="11">
        <v>40</v>
      </c>
      <c r="C5" s="12" t="str">
        <f>IF(ISNUMBER('[1]2 - Quy đổi VNĐ'!C7),('[1]2 - Quy đổi VNĐ'!C7+'3 - Giá Bán Đề Xuất'!$D$2)/(1-'3 - Giá Bán Đề Xuất'!$H$2),"")</f>
        <v/>
      </c>
      <c r="D5" s="12" t="str">
        <f>IF(ISNUMBER('[1]2 - Quy đổi VNĐ'!D7),('[1]2 - Quy đổi VNĐ'!D7+'3 - Giá Bán Đề Xuất'!$D$2)/(1-'3 - Giá Bán Đề Xuất'!$H$2),"")</f>
        <v/>
      </c>
      <c r="E5" s="12" t="str">
        <f>IF(ISNUMBER('[1]2 - Quy đổi VNĐ'!E7),('[1]2 - Quy đổi VNĐ'!E7+'3 - Giá Bán Đề Xuất'!$D$2)/(1-'3 - Giá Bán Đề Xuất'!$H$2),"")</f>
        <v/>
      </c>
      <c r="F5" s="12" t="str">
        <f>IF(ISNUMBER('[1]2 - Quy đổi VNĐ'!F7),('[1]2 - Quy đổi VNĐ'!F7+'3 - Giá Bán Đề Xuất'!$D$2)/(1-'3 - Giá Bán Đề Xuất'!$H$2),"")</f>
        <v/>
      </c>
      <c r="G5" s="12" t="str">
        <f>IF(ISNUMBER('[1]2 - Quy đổi VNĐ'!G7),('[1]2 - Quy đổi VNĐ'!G7+'3 - Giá Bán Đề Xuất'!$D$2)/(1-'3 - Giá Bán Đề Xuất'!$H$2),"")</f>
        <v/>
      </c>
      <c r="H5" s="6"/>
      <c r="I5" s="10"/>
      <c r="J5" s="11">
        <v>40</v>
      </c>
      <c r="K5" s="12" t="str">
        <f>IF(ISNUMBER('[1]2 - Quy đổi VNĐ'!K7),('[1]2 - Quy đổi VNĐ'!K7+'3 - Giá Bán Đề Xuất'!$D$2)/(1-'3 - Giá Bán Đề Xuất'!$H$2),"")</f>
        <v/>
      </c>
      <c r="L5" s="12" t="str">
        <f>IF(ISNUMBER('[1]2 - Quy đổi VNĐ'!L7),('[1]2 - Quy đổi VNĐ'!L7+'3 - Giá Bán Đề Xuất'!$D$2)/(1-'3 - Giá Bán Đề Xuất'!$H$2),"")</f>
        <v/>
      </c>
      <c r="M5" s="12" t="str">
        <f>IF(ISNUMBER('[1]2 - Quy đổi VNĐ'!M7),('[1]2 - Quy đổi VNĐ'!M7+'3 - Giá Bán Đề Xuất'!$D$2)/(1-'3 - Giá Bán Đề Xuất'!$H$2),"")</f>
        <v/>
      </c>
      <c r="N5" s="12" t="str">
        <f>IF(ISNUMBER('[1]2 - Quy đổi VNĐ'!N7),('[1]2 - Quy đổi VNĐ'!N7+'3 - Giá Bán Đề Xuất'!$D$2)/(1-'3 - Giá Bán Đề Xuất'!$H$2),"")</f>
        <v/>
      </c>
      <c r="O5" s="12" t="str">
        <f>IF(ISNUMBER('[1]2 - Quy đổi VNĐ'!O7),('[1]2 - Quy đổi VNĐ'!O7+'3 - Giá Bán Đề Xuất'!$D$2)/(1-'3 - Giá Bán Đề Xuất'!$H$2),"")</f>
        <v/>
      </c>
      <c r="P5" s="6"/>
      <c r="Q5" s="10"/>
      <c r="R5" s="11">
        <v>40</v>
      </c>
      <c r="S5" s="12">
        <f>IF(ISNUMBER('[1]2 - Quy đổi VNĐ'!S7),('[1]2 - Quy đổi VNĐ'!S7+'3 - Giá Bán Đề Xuất'!$D$2)/(1-'3 - Giá Bán Đề Xuất'!$H$2),"")</f>
        <v>594400</v>
      </c>
      <c r="T5" s="12">
        <f>IF(ISNUMBER('[1]2 - Quy đổi VNĐ'!T7),('[1]2 - Quy đổi VNĐ'!T7+'3 - Giá Bán Đề Xuất'!$D$2)/(1-'3 - Giá Bán Đề Xuất'!$H$2),"")</f>
        <v>694384.61538461538</v>
      </c>
      <c r="U5" s="12">
        <f>IF(ISNUMBER('[1]2 - Quy đổi VNĐ'!U7),('[1]2 - Quy đổi VNĐ'!U7+'3 - Giá Bán Đề Xuất'!$D$2)/(1-'3 - Giá Bán Đề Xuất'!$H$2),"")</f>
        <v>686923.07692307688</v>
      </c>
      <c r="V5" s="12">
        <f>IF(ISNUMBER('[1]2 - Quy đổi VNĐ'!V7),('[1]2 - Quy đổi VNĐ'!V7+'3 - Giá Bán Đề Xuất'!$D$2)/(1-'3 - Giá Bán Đề Xuất'!$H$2),"")</f>
        <v>1164461.5384615385</v>
      </c>
      <c r="W5" s="12">
        <f>IF(ISNUMBER('[1]2 - Quy đổi VNĐ'!W7),('[1]2 - Quy đổi VNĐ'!W7+'3 - Giá Bán Đề Xuất'!$D$2)/(1-'3 - Giá Bán Đề Xuất'!$H$2),"")</f>
        <v>1313692.3076923077</v>
      </c>
    </row>
    <row r="6" spans="1:23" ht="19.5" customHeight="1" x14ac:dyDescent="0.3">
      <c r="A6" s="13"/>
      <c r="B6" s="14">
        <v>50</v>
      </c>
      <c r="C6" s="12" t="str">
        <f>IF(ISNUMBER('[1]2 - Quy đổi VNĐ'!C8),('[1]2 - Quy đổi VNĐ'!C8+'3 - Giá Bán Đề Xuất'!$D$2)/(1-'3 - Giá Bán Đề Xuất'!$H$2),"")</f>
        <v/>
      </c>
      <c r="D6" s="12" t="str">
        <f>IF(ISNUMBER('[1]2 - Quy đổi VNĐ'!D8),('[1]2 - Quy đổi VNĐ'!D8+'3 - Giá Bán Đề Xuất'!$D$2)/(1-'3 - Giá Bán Đề Xuất'!$H$2),"")</f>
        <v/>
      </c>
      <c r="E6" s="12" t="str">
        <f>IF(ISNUMBER('[1]2 - Quy đổi VNĐ'!E8),('[1]2 - Quy đổi VNĐ'!E8+'3 - Giá Bán Đề Xuất'!$D$2)/(1-'3 - Giá Bán Đề Xuất'!$H$2),"")</f>
        <v/>
      </c>
      <c r="F6" s="12" t="str">
        <f>IF(ISNUMBER('[1]2 - Quy đổi VNĐ'!F8),('[1]2 - Quy đổi VNĐ'!F8+'3 - Giá Bán Đề Xuất'!$D$2)/(1-'3 - Giá Bán Đề Xuất'!$H$2),"")</f>
        <v/>
      </c>
      <c r="G6" s="12" t="str">
        <f>IF(ISNUMBER('[1]2 - Quy đổi VNĐ'!G8),('[1]2 - Quy đổi VNĐ'!G8+'3 - Giá Bán Đề Xuất'!$D$2)/(1-'3 - Giá Bán Đề Xuất'!$H$2),"")</f>
        <v/>
      </c>
      <c r="H6" s="6"/>
      <c r="I6" s="13"/>
      <c r="J6" s="14">
        <v>50</v>
      </c>
      <c r="K6" s="12" t="str">
        <f>IF(ISNUMBER('[1]2 - Quy đổi VNĐ'!K8),('[1]2 - Quy đổi VNĐ'!K8+'3 - Giá Bán Đề Xuất'!$D$2)/(1-'3 - Giá Bán Đề Xuất'!$H$2),"")</f>
        <v/>
      </c>
      <c r="L6" s="12" t="str">
        <f>IF(ISNUMBER('[1]2 - Quy đổi VNĐ'!L8),('[1]2 - Quy đổi VNĐ'!L8+'3 - Giá Bán Đề Xuất'!$D$2)/(1-'3 - Giá Bán Đề Xuất'!$H$2),"")</f>
        <v/>
      </c>
      <c r="M6" s="12" t="str">
        <f>IF(ISNUMBER('[1]2 - Quy đổi VNĐ'!M8),('[1]2 - Quy đổi VNĐ'!M8+'3 - Giá Bán Đề Xuất'!$D$2)/(1-'3 - Giá Bán Đề Xuất'!$H$2),"")</f>
        <v/>
      </c>
      <c r="N6" s="12" t="str">
        <f>IF(ISNUMBER('[1]2 - Quy đổi VNĐ'!N8),('[1]2 - Quy đổi VNĐ'!N8+'3 - Giá Bán Đề Xuất'!$D$2)/(1-'3 - Giá Bán Đề Xuất'!$H$2),"")</f>
        <v/>
      </c>
      <c r="O6" s="12" t="str">
        <f>IF(ISNUMBER('[1]2 - Quy đổi VNĐ'!O8),('[1]2 - Quy đổi VNĐ'!O8+'3 - Giá Bán Đề Xuất'!$D$2)/(1-'3 - Giá Bán Đề Xuất'!$H$2),"")</f>
        <v/>
      </c>
      <c r="P6" s="6"/>
      <c r="Q6" s="13"/>
      <c r="R6" s="14">
        <v>50</v>
      </c>
      <c r="S6" s="12">
        <f>IF(ISNUMBER('[1]2 - Quy đổi VNĐ'!S8),('[1]2 - Quy đổi VNĐ'!S8+'3 - Giá Bán Đề Xuất'!$D$2)/(1-'3 - Giá Bán Đề Xuất'!$H$2),"")</f>
        <v>642153.84615384613</v>
      </c>
      <c r="T6" s="12">
        <f>IF(ISNUMBER('[1]2 - Quy đổi VNĐ'!T8),('[1]2 - Quy đổi VNĐ'!T8+'3 - Giá Bán Đề Xuất'!$D$2)/(1-'3 - Giá Bán Đề Xuất'!$H$2),"")</f>
        <v>701846.15384615387</v>
      </c>
      <c r="U6" s="12">
        <f>IF(ISNUMBER('[1]2 - Quy đổi VNĐ'!U8),('[1]2 - Quy đổi VNĐ'!U8+'3 - Giá Bán Đề Xuất'!$D$2)/(1-'3 - Giá Bán Đề Xuất'!$H$2),"")</f>
        <v>739153.84615384613</v>
      </c>
      <c r="V6" s="12">
        <f>IF(ISNUMBER('[1]2 - Quy đổi VNĐ'!V8),('[1]2 - Quy đổi VNĐ'!V8+'3 - Giá Bán Đề Xuất'!$D$2)/(1-'3 - Giá Bán Đề Xuất'!$H$2),"")</f>
        <v>1171923.076923077</v>
      </c>
      <c r="W6" s="12">
        <f>IF(ISNUMBER('[1]2 - Quy đổi VNĐ'!W8),('[1]2 - Quy đổi VNĐ'!W8+'3 - Giá Bán Đề Xuất'!$D$2)/(1-'3 - Giá Bán Đề Xuất'!$H$2),"")</f>
        <v>1485307.6923076923</v>
      </c>
    </row>
    <row r="7" spans="1:23" ht="19.5" customHeight="1" x14ac:dyDescent="0.3">
      <c r="A7" s="10"/>
      <c r="B7" s="11">
        <v>60</v>
      </c>
      <c r="C7" s="12" t="str">
        <f>IF(ISNUMBER('[1]2 - Quy đổi VNĐ'!C9),('[1]2 - Quy đổi VNĐ'!C9+'3 - Giá Bán Đề Xuất'!$D$2)/(1-'3 - Giá Bán Đề Xuất'!$H$2),"")</f>
        <v/>
      </c>
      <c r="D7" s="12" t="str">
        <f>IF(ISNUMBER('[1]2 - Quy đổi VNĐ'!D9),('[1]2 - Quy đổi VNĐ'!D9+'3 - Giá Bán Đề Xuất'!$D$2)/(1-'3 - Giá Bán Đề Xuất'!$H$2),"")</f>
        <v/>
      </c>
      <c r="E7" s="12" t="str">
        <f>IF(ISNUMBER('[1]2 - Quy đổi VNĐ'!E9),('[1]2 - Quy đổi VNĐ'!E9+'3 - Giá Bán Đề Xuất'!$D$2)/(1-'3 - Giá Bán Đề Xuất'!$H$2),"")</f>
        <v/>
      </c>
      <c r="F7" s="12" t="str">
        <f>IF(ISNUMBER('[1]2 - Quy đổi VNĐ'!F9),('[1]2 - Quy đổi VNĐ'!F9+'3 - Giá Bán Đề Xuất'!$D$2)/(1-'3 - Giá Bán Đề Xuất'!$H$2),"")</f>
        <v/>
      </c>
      <c r="G7" s="12" t="str">
        <f>IF(ISNUMBER('[1]2 - Quy đổi VNĐ'!G9),('[1]2 - Quy đổi VNĐ'!G9+'3 - Giá Bán Đề Xuất'!$D$2)/(1-'3 - Giá Bán Đề Xuất'!$H$2),"")</f>
        <v/>
      </c>
      <c r="H7" s="6"/>
      <c r="I7" s="10"/>
      <c r="J7" s="11">
        <v>60</v>
      </c>
      <c r="K7" s="12" t="str">
        <f>IF(ISNUMBER('[1]2 - Quy đổi VNĐ'!K9),('[1]2 - Quy đổi VNĐ'!K9+'3 - Giá Bán Đề Xuất'!$D$2)/(1-'3 - Giá Bán Đề Xuất'!$H$2),"")</f>
        <v/>
      </c>
      <c r="L7" s="12" t="str">
        <f>IF(ISNUMBER('[1]2 - Quy đổi VNĐ'!L9),('[1]2 - Quy đổi VNĐ'!L9+'3 - Giá Bán Đề Xuất'!$D$2)/(1-'3 - Giá Bán Đề Xuất'!$H$2),"")</f>
        <v/>
      </c>
      <c r="M7" s="12" t="str">
        <f>IF(ISNUMBER('[1]2 - Quy đổi VNĐ'!M9),('[1]2 - Quy đổi VNĐ'!M9+'3 - Giá Bán Đề Xuất'!$D$2)/(1-'3 - Giá Bán Đề Xuất'!$H$2),"")</f>
        <v/>
      </c>
      <c r="N7" s="12" t="str">
        <f>IF(ISNUMBER('[1]2 - Quy đổi VNĐ'!N9),('[1]2 - Quy đổi VNĐ'!N9+'3 - Giá Bán Đề Xuất'!$D$2)/(1-'3 - Giá Bán Đề Xuất'!$H$2),"")</f>
        <v/>
      </c>
      <c r="O7" s="12" t="str">
        <f>IF(ISNUMBER('[1]2 - Quy đổi VNĐ'!O9),('[1]2 - Quy đổi VNĐ'!O9+'3 - Giá Bán Đề Xuất'!$D$2)/(1-'3 - Giá Bán Đề Xuất'!$H$2),"")</f>
        <v/>
      </c>
      <c r="P7" s="6"/>
      <c r="Q7" s="10"/>
      <c r="R7" s="11">
        <v>60</v>
      </c>
      <c r="S7" s="12">
        <f>IF(ISNUMBER('[1]2 - Quy đổi VNĐ'!S9),('[1]2 - Quy đổi VNĐ'!S9+'3 - Giá Bán Đề Xuất'!$D$2)/(1-'3 - Giá Bán Đề Xuất'!$H$2),"")</f>
        <v>694384.61538461538</v>
      </c>
      <c r="T7" s="12">
        <f>IF(ISNUMBER('[1]2 - Quy đổi VNĐ'!T9),('[1]2 - Quy đổi VNĐ'!T9+'3 - Giá Bán Đề Xuất'!$D$2)/(1-'3 - Giá Bán Đề Xuất'!$H$2),"")</f>
        <v>761538.4615384615</v>
      </c>
      <c r="U7" s="12">
        <f>IF(ISNUMBER('[1]2 - Quy đổi VNĐ'!U9),('[1]2 - Quy đổi VNĐ'!U9+'3 - Giá Bán Đề Xuất'!$D$2)/(1-'3 - Giá Bán Đề Xuất'!$H$2),"")</f>
        <v>813769.23076923075</v>
      </c>
      <c r="V7" s="12">
        <f>IF(ISNUMBER('[1]2 - Quy đổi VNĐ'!V9),('[1]2 - Quy đổi VNĐ'!V9+'3 - Giá Bán Đề Xuất'!$D$2)/(1-'3 - Giá Bán Đề Xuất'!$H$2),"")</f>
        <v>1276384.6153846153</v>
      </c>
      <c r="W7" s="12">
        <f>IF(ISNUMBER('[1]2 - Quy đổi VNĐ'!W9),('[1]2 - Quy đổi VNĐ'!W9+'3 - Giá Bán Đề Xuất'!$D$2)/(1-'3 - Giá Bán Đề Xuất'!$H$2),"")</f>
        <v>1679307.6923076923</v>
      </c>
    </row>
    <row r="8" spans="1:23" ht="19.5" customHeight="1" x14ac:dyDescent="0.3">
      <c r="A8" s="13"/>
      <c r="B8" s="14">
        <v>70</v>
      </c>
      <c r="C8" s="12" t="str">
        <f>IF(ISNUMBER('[1]2 - Quy đổi VNĐ'!C10),('[1]2 - Quy đổi VNĐ'!C10+'3 - Giá Bán Đề Xuất'!$D$2)/(1-'3 - Giá Bán Đề Xuất'!$H$2),"")</f>
        <v/>
      </c>
      <c r="D8" s="12" t="str">
        <f>IF(ISNUMBER('[1]2 - Quy đổi VNĐ'!D10),('[1]2 - Quy đổi VNĐ'!D10+'3 - Giá Bán Đề Xuất'!$D$2)/(1-'3 - Giá Bán Đề Xuất'!$H$2),"")</f>
        <v/>
      </c>
      <c r="E8" s="12" t="str">
        <f>IF(ISNUMBER('[1]2 - Quy đổi VNĐ'!E10),('[1]2 - Quy đổi VNĐ'!E10+'3 - Giá Bán Đề Xuất'!$D$2)/(1-'3 - Giá Bán Đề Xuất'!$H$2),"")</f>
        <v/>
      </c>
      <c r="F8" s="12" t="str">
        <f>IF(ISNUMBER('[1]2 - Quy đổi VNĐ'!F10),('[1]2 - Quy đổi VNĐ'!F10+'3 - Giá Bán Đề Xuất'!$D$2)/(1-'3 - Giá Bán Đề Xuất'!$H$2),"")</f>
        <v/>
      </c>
      <c r="G8" s="12" t="str">
        <f>IF(ISNUMBER('[1]2 - Quy đổi VNĐ'!G10),('[1]2 - Quy đổi VNĐ'!G10+'3 - Giá Bán Đề Xuất'!$D$2)/(1-'3 - Giá Bán Đề Xuất'!$H$2),"")</f>
        <v/>
      </c>
      <c r="H8" s="6"/>
      <c r="I8" s="13"/>
      <c r="J8" s="14">
        <v>70</v>
      </c>
      <c r="K8" s="12" t="str">
        <f>IF(ISNUMBER('[1]2 - Quy đổi VNĐ'!K10),('[1]2 - Quy đổi VNĐ'!K10+'3 - Giá Bán Đề Xuất'!$D$2)/(1-'3 - Giá Bán Đề Xuất'!$H$2),"")</f>
        <v/>
      </c>
      <c r="L8" s="12" t="str">
        <f>IF(ISNUMBER('[1]2 - Quy đổi VNĐ'!L10),('[1]2 - Quy đổi VNĐ'!L10+'3 - Giá Bán Đề Xuất'!$D$2)/(1-'3 - Giá Bán Đề Xuất'!$H$2),"")</f>
        <v/>
      </c>
      <c r="M8" s="12" t="str">
        <f>IF(ISNUMBER('[1]2 - Quy đổi VNĐ'!M10),('[1]2 - Quy đổi VNĐ'!M10+'3 - Giá Bán Đề Xuất'!$D$2)/(1-'3 - Giá Bán Đề Xuất'!$H$2),"")</f>
        <v/>
      </c>
      <c r="N8" s="12" t="str">
        <f>IF(ISNUMBER('[1]2 - Quy đổi VNĐ'!N10),('[1]2 - Quy đổi VNĐ'!N10+'3 - Giá Bán Đề Xuất'!$D$2)/(1-'3 - Giá Bán Đề Xuất'!$H$2),"")</f>
        <v/>
      </c>
      <c r="O8" s="12" t="str">
        <f>IF(ISNUMBER('[1]2 - Quy đổi VNĐ'!O10),('[1]2 - Quy đổi VNĐ'!O10+'3 - Giá Bán Đề Xuất'!$D$2)/(1-'3 - Giá Bán Đề Xuất'!$H$2),"")</f>
        <v/>
      </c>
      <c r="P8" s="6"/>
      <c r="Q8" s="13"/>
      <c r="R8" s="14">
        <v>70</v>
      </c>
      <c r="S8" s="12">
        <f>IF(ISNUMBER('[1]2 - Quy đổi VNĐ'!S10),('[1]2 - Quy đổi VNĐ'!S10+'3 - Giá Bán Đề Xuất'!$D$2)/(1-'3 - Giá Bán Đề Xuất'!$H$2),"")</f>
        <v>739153.84615384613</v>
      </c>
      <c r="T8" s="12">
        <f>IF(ISNUMBER('[1]2 - Quy đổi VNĐ'!T10),('[1]2 - Quy đổi VNĐ'!T10+'3 - Giá Bán Đề Xuất'!$D$2)/(1-'3 - Giá Bán Đề Xuất'!$H$2),"")</f>
        <v>813769.23076923075</v>
      </c>
      <c r="U8" s="12">
        <f>IF(ISNUMBER('[1]2 - Quy đổi VNĐ'!U10),('[1]2 - Quy đổi VNĐ'!U10+'3 - Giá Bán Đề Xuất'!$D$2)/(1-'3 - Giá Bán Đề Xuất'!$H$2),"")</f>
        <v>858538.4615384615</v>
      </c>
      <c r="V8" s="12">
        <f>IF(ISNUMBER('[1]2 - Quy đổi VNĐ'!V10),('[1]2 - Quy đổi VNĐ'!V10+'3 - Giá Bán Đề Xuất'!$D$2)/(1-'3 - Giá Bán Đề Xuất'!$H$2),"")</f>
        <v>1261461.5384615385</v>
      </c>
      <c r="W8" s="12">
        <f>IF(ISNUMBER('[1]2 - Quy đổi VNĐ'!W10),('[1]2 - Quy đổi VNĐ'!W10+'3 - Giá Bán Đề Xuất'!$D$2)/(1-'3 - Giá Bán Đề Xuất'!$H$2),"")</f>
        <v>1813615.3846153845</v>
      </c>
    </row>
    <row r="9" spans="1:23" ht="19.5" customHeight="1" x14ac:dyDescent="0.3">
      <c r="A9" s="10"/>
      <c r="B9" s="11">
        <v>80</v>
      </c>
      <c r="C9" s="12" t="str">
        <f>IF(ISNUMBER('[1]2 - Quy đổi VNĐ'!C11),('[1]2 - Quy đổi VNĐ'!C11+'3 - Giá Bán Đề Xuất'!$D$2)/(1-'3 - Giá Bán Đề Xuất'!$H$2),"")</f>
        <v/>
      </c>
      <c r="D9" s="12" t="str">
        <f>IF(ISNUMBER('[1]2 - Quy đổi VNĐ'!D11),('[1]2 - Quy đổi VNĐ'!D11+'3 - Giá Bán Đề Xuất'!$D$2)/(1-'3 - Giá Bán Đề Xuất'!$H$2),"")</f>
        <v/>
      </c>
      <c r="E9" s="12" t="str">
        <f>IF(ISNUMBER('[1]2 - Quy đổi VNĐ'!E11),('[1]2 - Quy đổi VNĐ'!E11+'3 - Giá Bán Đề Xuất'!$D$2)/(1-'3 - Giá Bán Đề Xuất'!$H$2),"")</f>
        <v/>
      </c>
      <c r="F9" s="12" t="str">
        <f>IF(ISNUMBER('[1]2 - Quy đổi VNĐ'!F11),('[1]2 - Quy đổi VNĐ'!F11+'3 - Giá Bán Đề Xuất'!$D$2)/(1-'3 - Giá Bán Đề Xuất'!$H$2),"")</f>
        <v/>
      </c>
      <c r="G9" s="12" t="str">
        <f>IF(ISNUMBER('[1]2 - Quy đổi VNĐ'!G11),('[1]2 - Quy đổi VNĐ'!G11+'3 - Giá Bán Đề Xuất'!$D$2)/(1-'3 - Giá Bán Đề Xuất'!$H$2),"")</f>
        <v/>
      </c>
      <c r="H9" s="6"/>
      <c r="I9" s="10"/>
      <c r="J9" s="11">
        <v>80</v>
      </c>
      <c r="K9" s="12" t="str">
        <f>IF(ISNUMBER('[1]2 - Quy đổi VNĐ'!K11),('[1]2 - Quy đổi VNĐ'!K11+'3 - Giá Bán Đề Xuất'!$D$2)/(1-'3 - Giá Bán Đề Xuất'!$H$2),"")</f>
        <v/>
      </c>
      <c r="L9" s="12" t="str">
        <f>IF(ISNUMBER('[1]2 - Quy đổi VNĐ'!L11),('[1]2 - Quy đổi VNĐ'!L11+'3 - Giá Bán Đề Xuất'!$D$2)/(1-'3 - Giá Bán Đề Xuất'!$H$2),"")</f>
        <v/>
      </c>
      <c r="M9" s="12" t="str">
        <f>IF(ISNUMBER('[1]2 - Quy đổi VNĐ'!M11),('[1]2 - Quy đổi VNĐ'!M11+'3 - Giá Bán Đề Xuất'!$D$2)/(1-'3 - Giá Bán Đề Xuất'!$H$2),"")</f>
        <v/>
      </c>
      <c r="N9" s="12" t="str">
        <f>IF(ISNUMBER('[1]2 - Quy đổi VNĐ'!N11),('[1]2 - Quy đổi VNĐ'!N11+'3 - Giá Bán Đề Xuất'!$D$2)/(1-'3 - Giá Bán Đề Xuất'!$H$2),"")</f>
        <v/>
      </c>
      <c r="O9" s="12" t="str">
        <f>IF(ISNUMBER('[1]2 - Quy đổi VNĐ'!O11),('[1]2 - Quy đổi VNĐ'!O11+'3 - Giá Bán Đề Xuất'!$D$2)/(1-'3 - Giá Bán Đề Xuất'!$H$2),"")</f>
        <v/>
      </c>
      <c r="P9" s="6"/>
      <c r="Q9" s="10"/>
      <c r="R9" s="11">
        <v>80</v>
      </c>
      <c r="S9" s="12">
        <f>IF(ISNUMBER('[1]2 - Quy đổi VNĐ'!S11),('[1]2 - Quy đổi VNĐ'!S11+'3 - Giá Bán Đề Xuất'!$D$2)/(1-'3 - Giá Bán Đề Xuất'!$H$2),"")</f>
        <v>1112230.7692307692</v>
      </c>
      <c r="T9" s="12">
        <f>IF(ISNUMBER('[1]2 - Quy đổi VNĐ'!T11),('[1]2 - Quy đổi VNĐ'!T11+'3 - Giá Bán Đề Xuất'!$D$2)/(1-'3 - Giá Bán Đề Xuất'!$H$2),"")</f>
        <v>1224153.846153846</v>
      </c>
      <c r="U9" s="12">
        <f>IF(ISNUMBER('[1]2 - Quy đổi VNĐ'!U11),('[1]2 - Quy đổi VNĐ'!U11+'3 - Giá Bán Đề Xuất'!$D$2)/(1-'3 - Giá Bán Đề Xuất'!$H$2),"")</f>
        <v>1142076.923076923</v>
      </c>
      <c r="V9" s="12">
        <f>IF(ISNUMBER('[1]2 - Quy đổi VNĐ'!V11),('[1]2 - Quy đổi VNĐ'!V11+'3 - Giá Bán Đề Xuất'!$D$2)/(1-'3 - Giá Bán Đề Xuất'!$H$2),"")</f>
        <v>1530076.923076923</v>
      </c>
      <c r="W9" s="12">
        <f>IF(ISNUMBER('[1]2 - Quy đổi VNĐ'!W11),('[1]2 - Quy đổi VNĐ'!W11+'3 - Giá Bán Đề Xuất'!$D$2)/(1-'3 - Giá Bán Đề Xuất'!$H$2),"")</f>
        <v>2127000</v>
      </c>
    </row>
    <row r="10" spans="1:23" ht="19.5" customHeight="1" x14ac:dyDescent="0.3">
      <c r="A10" s="13"/>
      <c r="B10" s="14">
        <v>90</v>
      </c>
      <c r="C10" s="12" t="str">
        <f>IF(ISNUMBER('[1]2 - Quy đổi VNĐ'!C12),('[1]2 - Quy đổi VNĐ'!C12+'3 - Giá Bán Đề Xuất'!$D$2)/(1-'3 - Giá Bán Đề Xuất'!$H$2),"")</f>
        <v/>
      </c>
      <c r="D10" s="12" t="str">
        <f>IF(ISNUMBER('[1]2 - Quy đổi VNĐ'!D12),('[1]2 - Quy đổi VNĐ'!D12+'3 - Giá Bán Đề Xuất'!$D$2)/(1-'3 - Giá Bán Đề Xuất'!$H$2),"")</f>
        <v/>
      </c>
      <c r="E10" s="12" t="str">
        <f>IF(ISNUMBER('[1]2 - Quy đổi VNĐ'!E12),('[1]2 - Quy đổi VNĐ'!E12+'3 - Giá Bán Đề Xuất'!$D$2)/(1-'3 - Giá Bán Đề Xuất'!$H$2),"")</f>
        <v/>
      </c>
      <c r="F10" s="12" t="str">
        <f>IF(ISNUMBER('[1]2 - Quy đổi VNĐ'!F12),('[1]2 - Quy đổi VNĐ'!F12+'3 - Giá Bán Đề Xuất'!$D$2)/(1-'3 - Giá Bán Đề Xuất'!$H$2),"")</f>
        <v/>
      </c>
      <c r="G10" s="12" t="str">
        <f>IF(ISNUMBER('[1]2 - Quy đổi VNĐ'!G12),('[1]2 - Quy đổi VNĐ'!G12+'3 - Giá Bán Đề Xuất'!$D$2)/(1-'3 - Giá Bán Đề Xuất'!$H$2),"")</f>
        <v/>
      </c>
      <c r="H10" s="6"/>
      <c r="I10" s="13"/>
      <c r="J10" s="14">
        <v>90</v>
      </c>
      <c r="K10" s="12" t="str">
        <f>IF(ISNUMBER('[1]2 - Quy đổi VNĐ'!K12),('[1]2 - Quy đổi VNĐ'!K12+'3 - Giá Bán Đề Xuất'!$D$2)/(1-'3 - Giá Bán Đề Xuất'!$H$2),"")</f>
        <v/>
      </c>
      <c r="L10" s="12" t="str">
        <f>IF(ISNUMBER('[1]2 - Quy đổi VNĐ'!L12),('[1]2 - Quy đổi VNĐ'!L12+'3 - Giá Bán Đề Xuất'!$D$2)/(1-'3 - Giá Bán Đề Xuất'!$H$2),"")</f>
        <v/>
      </c>
      <c r="M10" s="12" t="str">
        <f>IF(ISNUMBER('[1]2 - Quy đổi VNĐ'!M12),('[1]2 - Quy đổi VNĐ'!M12+'3 - Giá Bán Đề Xuất'!$D$2)/(1-'3 - Giá Bán Đề Xuất'!$H$2),"")</f>
        <v/>
      </c>
      <c r="N10" s="12" t="str">
        <f>IF(ISNUMBER('[1]2 - Quy đổi VNĐ'!N12),('[1]2 - Quy đổi VNĐ'!N12+'3 - Giá Bán Đề Xuất'!$D$2)/(1-'3 - Giá Bán Đề Xuất'!$H$2),"")</f>
        <v/>
      </c>
      <c r="O10" s="12" t="str">
        <f>IF(ISNUMBER('[1]2 - Quy đổi VNĐ'!O12),('[1]2 - Quy đổi VNĐ'!O12+'3 - Giá Bán Đề Xuất'!$D$2)/(1-'3 - Giá Bán Đề Xuất'!$H$2),"")</f>
        <v/>
      </c>
      <c r="P10" s="6"/>
      <c r="Q10" s="13"/>
      <c r="R10" s="14">
        <v>90</v>
      </c>
      <c r="S10" s="12">
        <f>IF(ISNUMBER('[1]2 - Quy đổi VNĐ'!S12),('[1]2 - Quy đổi VNĐ'!S12+'3 - Giá Bán Đề Xuất'!$D$2)/(1-'3 - Giá Bán Đề Xuất'!$H$2),"")</f>
        <v>1224153.846153846</v>
      </c>
      <c r="T10" s="12">
        <f>IF(ISNUMBER('[1]2 - Quy đổi VNĐ'!T12),('[1]2 - Quy đổi VNĐ'!T12+'3 - Giá Bán Đề Xuất'!$D$2)/(1-'3 - Giá Bán Đề Xuất'!$H$2),"")</f>
        <v>1343538.4615384615</v>
      </c>
      <c r="U10" s="12">
        <f>IF(ISNUMBER('[1]2 - Quy đổi VNĐ'!U12),('[1]2 - Quy đổi VNĐ'!U12+'3 - Giá Bán Đề Xuất'!$D$2)/(1-'3 - Giá Bán Đề Xuất'!$H$2),"")</f>
        <v>1261461.5384615385</v>
      </c>
      <c r="V10" s="12">
        <f>IF(ISNUMBER('[1]2 - Quy đổi VNĐ'!V12),('[1]2 - Quy đổi VNĐ'!V12+'3 - Giá Bán Đề Xuất'!$D$2)/(1-'3 - Giá Bán Đề Xuất'!$H$2),"")</f>
        <v>1552461.5384615385</v>
      </c>
      <c r="W10" s="12">
        <f>IF(ISNUMBER('[1]2 - Quy đổi VNĐ'!W12),('[1]2 - Quy đổi VNĐ'!W12+'3 - Giá Bán Đề Xuất'!$D$2)/(1-'3 - Giá Bán Đề Xuất'!$H$2),"")</f>
        <v>2373230.769230769</v>
      </c>
    </row>
    <row r="11" spans="1:23" ht="19.5" customHeight="1" x14ac:dyDescent="0.3">
      <c r="A11" s="10"/>
      <c r="B11" s="11">
        <v>100</v>
      </c>
      <c r="C11" s="12" t="str">
        <f>IF(ISNUMBER('[1]2 - Quy đổi VNĐ'!C13),('[1]2 - Quy đổi VNĐ'!C13+'3 - Giá Bán Đề Xuất'!$D$2)/(1-'3 - Giá Bán Đề Xuất'!$H$2),"")</f>
        <v/>
      </c>
      <c r="D11" s="12" t="str">
        <f>IF(ISNUMBER('[1]2 - Quy đổi VNĐ'!D13),('[1]2 - Quy đổi VNĐ'!D13+'3 - Giá Bán Đề Xuất'!$D$2)/(1-'3 - Giá Bán Đề Xuất'!$H$2),"")</f>
        <v/>
      </c>
      <c r="E11" s="12" t="str">
        <f>IF(ISNUMBER('[1]2 - Quy đổi VNĐ'!E13),('[1]2 - Quy đổi VNĐ'!E13+'3 - Giá Bán Đề Xuất'!$D$2)/(1-'3 - Giá Bán Đề Xuất'!$H$2),"")</f>
        <v/>
      </c>
      <c r="F11" s="12" t="str">
        <f>IF(ISNUMBER('[1]2 - Quy đổi VNĐ'!F13),('[1]2 - Quy đổi VNĐ'!F13+'3 - Giá Bán Đề Xuất'!$D$2)/(1-'3 - Giá Bán Đề Xuất'!$H$2),"")</f>
        <v/>
      </c>
      <c r="G11" s="12" t="str">
        <f>IF(ISNUMBER('[1]2 - Quy đổi VNĐ'!G13),('[1]2 - Quy đổi VNĐ'!G13+'3 - Giá Bán Đề Xuất'!$D$2)/(1-'3 - Giá Bán Đề Xuất'!$H$2),"")</f>
        <v/>
      </c>
      <c r="H11" s="6"/>
      <c r="I11" s="10"/>
      <c r="J11" s="11">
        <v>100</v>
      </c>
      <c r="K11" s="12" t="str">
        <f>IF(ISNUMBER('[1]2 - Quy đổi VNĐ'!K13),('[1]2 - Quy đổi VNĐ'!K13+'3 - Giá Bán Đề Xuất'!$D$2)/(1-'3 - Giá Bán Đề Xuất'!$H$2),"")</f>
        <v/>
      </c>
      <c r="L11" s="12" t="str">
        <f>IF(ISNUMBER('[1]2 - Quy đổi VNĐ'!L13),('[1]2 - Quy đổi VNĐ'!L13+'3 - Giá Bán Đề Xuất'!$D$2)/(1-'3 - Giá Bán Đề Xuất'!$H$2),"")</f>
        <v/>
      </c>
      <c r="M11" s="12" t="str">
        <f>IF(ISNUMBER('[1]2 - Quy đổi VNĐ'!M13),('[1]2 - Quy đổi VNĐ'!M13+'3 - Giá Bán Đề Xuất'!$D$2)/(1-'3 - Giá Bán Đề Xuất'!$H$2),"")</f>
        <v/>
      </c>
      <c r="N11" s="12" t="str">
        <f>IF(ISNUMBER('[1]2 - Quy đổi VNĐ'!N13),('[1]2 - Quy đổi VNĐ'!N13+'3 - Giá Bán Đề Xuất'!$D$2)/(1-'3 - Giá Bán Đề Xuất'!$H$2),"")</f>
        <v/>
      </c>
      <c r="O11" s="12" t="str">
        <f>IF(ISNUMBER('[1]2 - Quy đổi VNĐ'!O13),('[1]2 - Quy đổi VNĐ'!O13+'3 - Giá Bán Đề Xuất'!$D$2)/(1-'3 - Giá Bán Đề Xuất'!$H$2),"")</f>
        <v/>
      </c>
      <c r="P11" s="6"/>
      <c r="Q11" s="10"/>
      <c r="R11" s="11">
        <v>100</v>
      </c>
      <c r="S11" s="12" t="str">
        <f>IF(ISNUMBER('[1]2 - Quy đổi VNĐ'!S13),('[1]2 - Quy đổi VNĐ'!S13+'3 - Giá Bán Đề Xuất'!$D$2)/(1-'3 - Giá Bán Đề Xuất'!$H$2),"")</f>
        <v/>
      </c>
      <c r="T11" s="12" t="str">
        <f>IF(ISNUMBER('[1]2 - Quy đổi VNĐ'!T13),('[1]2 - Quy đổi VNĐ'!T13+'3 - Giá Bán Đề Xuất'!$D$2)/(1-'3 - Giá Bán Đề Xuất'!$H$2),"")</f>
        <v/>
      </c>
      <c r="U11" s="12" t="str">
        <f>IF(ISNUMBER('[1]2 - Quy đổi VNĐ'!U13),('[1]2 - Quy đổi VNĐ'!U13+'3 - Giá Bán Đề Xuất'!$D$2)/(1-'3 - Giá Bán Đề Xuất'!$H$2),"")</f>
        <v/>
      </c>
      <c r="V11" s="12" t="str">
        <f>IF(ISNUMBER('[1]2 - Quy đổi VNĐ'!V13),('[1]2 - Quy đổi VNĐ'!V13+'3 - Giá Bán Đề Xuất'!$D$2)/(1-'3 - Giá Bán Đề Xuất'!$H$2),"")</f>
        <v/>
      </c>
      <c r="W11" s="12" t="str">
        <f>IF(ISNUMBER('[1]2 - Quy đổi VNĐ'!W13),('[1]2 - Quy đổi VNĐ'!W13+'3 - Giá Bán Đề Xuất'!$D$2)/(1-'3 - Giá Bán Đề Xuất'!$H$2),"")</f>
        <v/>
      </c>
    </row>
    <row r="12" spans="1:23" ht="4.5" customHeight="1" x14ac:dyDescent="0.3">
      <c r="A12" s="15"/>
      <c r="B12" s="15"/>
      <c r="C12" s="15"/>
      <c r="D12" s="15"/>
      <c r="E12" s="15"/>
      <c r="F12" s="15"/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24" customHeight="1" x14ac:dyDescent="0.3">
      <c r="A13" s="16"/>
      <c r="B13" s="16"/>
      <c r="C13" s="16"/>
      <c r="D13" s="16"/>
      <c r="E13" s="16"/>
      <c r="F13" s="16"/>
      <c r="G13" s="16"/>
      <c r="H13" s="6"/>
      <c r="P13" s="6"/>
    </row>
    <row r="14" spans="1:23" ht="21.75" customHeight="1" x14ac:dyDescent="0.3">
      <c r="A14" s="7" t="s">
        <v>13</v>
      </c>
      <c r="B14" s="7"/>
      <c r="C14" s="7"/>
      <c r="D14" s="7"/>
      <c r="E14" s="7"/>
      <c r="F14" s="7"/>
      <c r="G14" s="7"/>
      <c r="H14" s="6"/>
      <c r="I14" s="7" t="s">
        <v>14</v>
      </c>
      <c r="J14" s="7"/>
      <c r="K14" s="7"/>
      <c r="L14" s="7"/>
      <c r="M14" s="7"/>
      <c r="N14" s="7"/>
      <c r="O14" s="7"/>
      <c r="P14" s="6"/>
      <c r="Q14" s="7" t="s">
        <v>15</v>
      </c>
      <c r="R14" s="7"/>
      <c r="S14" s="7"/>
      <c r="T14" s="7"/>
      <c r="U14" s="7"/>
      <c r="V14" s="7"/>
      <c r="W14" s="7"/>
    </row>
    <row r="15" spans="1:23" ht="19.5" customHeight="1" x14ac:dyDescent="0.3">
      <c r="A15" s="8"/>
      <c r="B15" s="9" t="s">
        <v>7</v>
      </c>
      <c r="C15" s="9" t="s">
        <v>8</v>
      </c>
      <c r="D15" s="9" t="s">
        <v>9</v>
      </c>
      <c r="E15" s="9" t="s">
        <v>10</v>
      </c>
      <c r="F15" s="9" t="s">
        <v>11</v>
      </c>
      <c r="G15" s="9" t="s">
        <v>12</v>
      </c>
      <c r="H15" s="6"/>
      <c r="I15" s="8"/>
      <c r="J15" s="9" t="s">
        <v>7</v>
      </c>
      <c r="K15" s="9" t="s">
        <v>8</v>
      </c>
      <c r="L15" s="9" t="s">
        <v>9</v>
      </c>
      <c r="M15" s="9" t="s">
        <v>10</v>
      </c>
      <c r="N15" s="9" t="s">
        <v>11</v>
      </c>
      <c r="O15" s="9" t="s">
        <v>12</v>
      </c>
      <c r="P15" s="6"/>
      <c r="Q15" s="8"/>
      <c r="R15" s="9" t="s">
        <v>7</v>
      </c>
      <c r="S15" s="9" t="s">
        <v>8</v>
      </c>
      <c r="T15" s="9" t="s">
        <v>9</v>
      </c>
      <c r="U15" s="9" t="s">
        <v>10</v>
      </c>
      <c r="V15" s="9" t="s">
        <v>11</v>
      </c>
      <c r="W15" s="9" t="s">
        <v>12</v>
      </c>
    </row>
    <row r="16" spans="1:23" ht="19.5" customHeight="1" x14ac:dyDescent="0.3">
      <c r="A16" s="10"/>
      <c r="B16" s="11">
        <v>40</v>
      </c>
      <c r="C16" s="12">
        <f>IF(ISNUMBER('[1]2 - Quy đổi VNĐ'!C18),('[1]2 - Quy đổi VNĐ'!C18+'3 - Giá Bán Đề Xuất'!$D$2)/(1-'3 - Giá Bán Đề Xuất'!$H$2),"")</f>
        <v>813769.23076923075</v>
      </c>
      <c r="D16" s="12">
        <f>IF(ISNUMBER('[1]2 - Quy đổi VNĐ'!D18),('[1]2 - Quy đổi VNĐ'!D18+'3 - Giá Bán Đề Xuất'!$D$2)/(1-'3 - Giá Bán Đề Xuất'!$H$2),"")</f>
        <v>843615.38461538462</v>
      </c>
      <c r="E16" s="12">
        <f>IF(ISNUMBER('[1]2 - Quy đổi VNĐ'!E18),('[1]2 - Quy đổi VNĐ'!E18+'3 - Giá Bán Đề Xuất'!$D$2)/(1-'3 - Giá Bán Đề Xuất'!$H$2),"")</f>
        <v>858538.4615384615</v>
      </c>
      <c r="F16" s="12">
        <f>IF(ISNUMBER('[1]2 - Quy đổi VNĐ'!F18),('[1]2 - Quy đổi VNĐ'!F18+'3 - Giá Bán Đề Xuất'!$D$2)/(1-'3 - Giá Bán Đề Xuất'!$H$2),"")</f>
        <v>1403230.7692307692</v>
      </c>
      <c r="G16" s="12">
        <f>IF(ISNUMBER('[1]2 - Quy đổi VNĐ'!G18),('[1]2 - Quy đổi VNĐ'!G18+'3 - Giá Bán Đề Xuất'!$D$2)/(1-'3 - Giá Bán Đề Xuất'!$H$2),"")</f>
        <v>1619615.3846153845</v>
      </c>
      <c r="H16" s="6"/>
      <c r="I16" s="10"/>
      <c r="J16" s="11">
        <v>40</v>
      </c>
      <c r="K16" s="12">
        <f>IF(ISNUMBER('[1]2 - Quy đổi VNĐ'!K18),('[1]2 - Quy đổi VNĐ'!K18+'3 - Giá Bán Đề Xuất'!$D$2)/(1-'3 - Giá Bán Đề Xuất'!$H$2),"")</f>
        <v>813769.23076923075</v>
      </c>
      <c r="L16" s="12">
        <f>IF(ISNUMBER('[1]2 - Quy đổi VNĐ'!L18),('[1]2 - Quy đổi VNĐ'!L18+'3 - Giá Bán Đề Xuất'!$D$2)/(1-'3 - Giá Bán Đề Xuất'!$H$2),"")</f>
        <v>895846.15384615387</v>
      </c>
      <c r="M16" s="12">
        <f>IF(ISNUMBER('[1]2 - Quy đổi VNĐ'!M18),('[1]2 - Quy đổi VNĐ'!M18+'3 - Giá Bán Đề Xuất'!$D$2)/(1-'3 - Giá Bán Đề Xuất'!$H$2),"")</f>
        <v>895846.15384615387</v>
      </c>
      <c r="N16" s="12">
        <f>IF(ISNUMBER('[1]2 - Quy đổi VNĐ'!N18),('[1]2 - Quy đổi VNĐ'!N18+'3 - Giá Bán Đề Xuất'!$D$2)/(1-'3 - Giá Bán Đề Xuất'!$H$2),"")</f>
        <v>1462923.0769230768</v>
      </c>
      <c r="O16" s="12">
        <f>IF(ISNUMBER('[1]2 - Quy đổi VNĐ'!O18),('[1]2 - Quy đổi VNĐ'!O18+'3 - Giá Bán Đề Xuất'!$D$2)/(1-'3 - Giá Bán Đề Xuất'!$H$2),"")</f>
        <v>1843461.5384615385</v>
      </c>
      <c r="P16" s="6"/>
      <c r="Q16" s="10"/>
      <c r="R16" s="11">
        <v>40</v>
      </c>
      <c r="S16" s="12">
        <f>IF(ISNUMBER('[1]2 - Quy đổi VNĐ'!S18),('[1]2 - Quy đổi VNĐ'!S18+'3 - Giá Bán Đề Xuất'!$D$2)/(1-'3 - Giá Bán Đề Xuất'!$H$2),"")</f>
        <v>985384.61538461538</v>
      </c>
      <c r="T16" s="12">
        <f>IF(ISNUMBER('[1]2 - Quy đổi VNĐ'!T18),('[1]2 - Quy đổi VNĐ'!T18+'3 - Giá Bán Đề Xuất'!$D$2)/(1-'3 - Giá Bán Đề Xuất'!$H$2),"")</f>
        <v>1082384.6153846153</v>
      </c>
      <c r="U16" s="12">
        <f>IF(ISNUMBER('[1]2 - Quy đổi VNĐ'!U18),('[1]2 - Quy đổi VNĐ'!U18+'3 - Giá Bán Đề Xuất'!$D$2)/(1-'3 - Giá Bán Đề Xuất'!$H$2),"")</f>
        <v>1074923.076923077</v>
      </c>
      <c r="V16" s="12">
        <f>IF(ISNUMBER('[1]2 - Quy đổi VNĐ'!V18),('[1]2 - Quy đổi VNĐ'!V18+'3 - Giá Bán Đề Xuất'!$D$2)/(1-'3 - Giá Bán Đề Xuất'!$H$2),"")</f>
        <v>1716615.3846153845</v>
      </c>
      <c r="W16" s="12">
        <f>IF(ISNUMBER('[1]2 - Quy đổi VNĐ'!W18),('[1]2 - Quy đổi VNĐ'!W18+'3 - Giá Bán Đề Xuất'!$D$2)/(1-'3 - Giá Bán Đề Xuất'!$H$2),"")</f>
        <v>2268769.2307692305</v>
      </c>
    </row>
    <row r="17" spans="1:23" ht="19.5" customHeight="1" x14ac:dyDescent="0.3">
      <c r="A17" s="13"/>
      <c r="B17" s="14">
        <v>50</v>
      </c>
      <c r="C17" s="12">
        <f>IF(ISNUMBER('[1]2 - Quy đổi VNĐ'!C19),('[1]2 - Quy đổi VNĐ'!C19+'3 - Giá Bán Đề Xuất'!$D$2)/(1-'3 - Giá Bán Đề Xuất'!$H$2),"")</f>
        <v>851076.92307692301</v>
      </c>
      <c r="D17" s="12">
        <f>IF(ISNUMBER('[1]2 - Quy đổi VNĐ'!D19),('[1]2 - Quy đổi VNĐ'!D19+'3 - Giá Bán Đề Xuất'!$D$2)/(1-'3 - Giá Bán Đề Xuất'!$H$2),"")</f>
        <v>895846.15384615387</v>
      </c>
      <c r="E17" s="12">
        <f>IF(ISNUMBER('[1]2 - Quy đổi VNĐ'!E19),('[1]2 - Quy đổi VNĐ'!E19+'3 - Giá Bán Đề Xuất'!$D$2)/(1-'3 - Giá Bán Đề Xuất'!$H$2),"")</f>
        <v>940615.38461538462</v>
      </c>
      <c r="F17" s="12">
        <f>IF(ISNUMBER('[1]2 - Quy đổi VNĐ'!F19),('[1]2 - Quy đổi VNĐ'!F19+'3 - Giá Bán Đề Xuất'!$D$2)/(1-'3 - Giá Bán Đề Xuất'!$H$2),"")</f>
        <v>1403230.7692307692</v>
      </c>
      <c r="G17" s="12">
        <f>IF(ISNUMBER('[1]2 - Quy đổi VNĐ'!G19),('[1]2 - Quy đổi VNĐ'!G19+'3 - Giá Bán Đề Xuất'!$D$2)/(1-'3 - Giá Bán Đề Xuất'!$H$2),"")</f>
        <v>1656923.0769230768</v>
      </c>
      <c r="H17" s="6"/>
      <c r="I17" s="13"/>
      <c r="J17" s="14">
        <v>50</v>
      </c>
      <c r="K17" s="12">
        <f>IF(ISNUMBER('[1]2 - Quy đổi VNĐ'!K19),('[1]2 - Quy đổi VNĐ'!K19+'3 - Giá Bán Đề Xuất'!$D$2)/(1-'3 - Giá Bán Đề Xuất'!$H$2),"")</f>
        <v>851076.92307692301</v>
      </c>
      <c r="L17" s="12">
        <f>IF(ISNUMBER('[1]2 - Quy đổi VNĐ'!L19),('[1]2 - Quy đổi VNĐ'!L19+'3 - Giá Bán Đề Xuất'!$D$2)/(1-'3 - Giá Bán Đề Xuất'!$H$2),"")</f>
        <v>933153.84615384613</v>
      </c>
      <c r="M17" s="12">
        <f>IF(ISNUMBER('[1]2 - Quy đổi VNĐ'!M19),('[1]2 - Quy đổi VNĐ'!M19+'3 - Giá Bán Đề Xuất'!$D$2)/(1-'3 - Giá Bán Đề Xuất'!$H$2),"")</f>
        <v>977923.07692307688</v>
      </c>
      <c r="N17" s="12">
        <f>IF(ISNUMBER('[1]2 - Quy đổi VNĐ'!N19),('[1]2 - Quy đổi VNĐ'!N19+'3 - Giá Bán Đề Xuất'!$D$2)/(1-'3 - Giá Bán Đề Xuất'!$H$2),"")</f>
        <v>1470384.6153846153</v>
      </c>
      <c r="O17" s="12">
        <f>IF(ISNUMBER('[1]2 - Quy đổi VNĐ'!O19),('[1]2 - Quy đổi VNĐ'!O19+'3 - Giá Bán Đề Xuất'!$D$2)/(1-'3 - Giá Bán Đề Xuất'!$H$2),"")</f>
        <v>1850923.0769230768</v>
      </c>
      <c r="P17" s="6"/>
      <c r="Q17" s="13"/>
      <c r="R17" s="14">
        <v>50</v>
      </c>
      <c r="S17" s="12">
        <f>IF(ISNUMBER('[1]2 - Quy đổi VNĐ'!S19),('[1]2 - Quy đổi VNĐ'!S19+'3 - Giá Bán Đề Xuất'!$D$2)/(1-'3 - Giá Bán Đề Xuất'!$H$2),"")</f>
        <v>1030153.8461538461</v>
      </c>
      <c r="T17" s="12">
        <f>IF(ISNUMBER('[1]2 - Quy đổi VNĐ'!T19),('[1]2 - Quy đổi VNĐ'!T19+'3 - Giá Bán Đề Xuất'!$D$2)/(1-'3 - Giá Bán Đề Xuất'!$H$2),"")</f>
        <v>1134615.3846153845</v>
      </c>
      <c r="U17" s="12">
        <f>IF(ISNUMBER('[1]2 - Quy đổi VNĐ'!U19),('[1]2 - Quy đổi VNĐ'!U19+'3 - Giá Bán Đề Xuất'!$D$2)/(1-'3 - Giá Bán Đề Xuất'!$H$2),"")</f>
        <v>1142076.923076923</v>
      </c>
      <c r="V17" s="12">
        <f>IF(ISNUMBER('[1]2 - Quy đổi VNĐ'!V19),('[1]2 - Quy đổi VNĐ'!V19+'3 - Giá Bán Đề Xuất'!$D$2)/(1-'3 - Giá Bán Đề Xuất'!$H$2),"")</f>
        <v>1746461.5384615385</v>
      </c>
      <c r="W17" s="12">
        <f>IF(ISNUMBER('[1]2 - Quy đổi VNĐ'!W19),('[1]2 - Quy đổi VNĐ'!W19+'3 - Giá Bán Đề Xuất'!$D$2)/(1-'3 - Giá Bán Đề Xuất'!$H$2),"")</f>
        <v>2395615.3846153845</v>
      </c>
    </row>
    <row r="18" spans="1:23" ht="19.5" customHeight="1" x14ac:dyDescent="0.3">
      <c r="A18" s="10"/>
      <c r="B18" s="11">
        <v>60</v>
      </c>
      <c r="C18" s="12">
        <f>IF(ISNUMBER('[1]2 - Quy đổi VNĐ'!C20),('[1]2 - Quy đổi VNĐ'!C20+'3 - Giá Bán Đề Xuất'!$D$2)/(1-'3 - Giá Bán Đề Xuất'!$H$2),"")</f>
        <v>910769.23076923075</v>
      </c>
      <c r="D18" s="12">
        <f>IF(ISNUMBER('[1]2 - Quy đổi VNĐ'!D20),('[1]2 - Quy đổi VNĐ'!D20+'3 - Giá Bán Đề Xuất'!$D$2)/(1-'3 - Giá Bán Đề Xuất'!$H$2),"")</f>
        <v>948076.92307692301</v>
      </c>
      <c r="E18" s="12">
        <f>IF(ISNUMBER('[1]2 - Quy đổi VNĐ'!E20),('[1]2 - Quy đổi VNĐ'!E20+'3 - Giá Bán Đề Xuất'!$D$2)/(1-'3 - Giá Bán Đề Xuất'!$H$2),"")</f>
        <v>1030153.8461538461</v>
      </c>
      <c r="F18" s="12">
        <f>IF(ISNUMBER('[1]2 - Quy đổi VNĐ'!F20),('[1]2 - Quy đổi VNĐ'!F20+'3 - Giá Bán Đề Xuất'!$D$2)/(1-'3 - Giá Bán Đề Xuất'!$H$2),"")</f>
        <v>1559923.0769230768</v>
      </c>
      <c r="G18" s="12">
        <f>IF(ISNUMBER('[1]2 - Quy đổi VNĐ'!G20),('[1]2 - Quy đổi VNĐ'!G20+'3 - Giá Bán Đề Xuất'!$D$2)/(1-'3 - Giá Bán Đề Xuất'!$H$2),"")</f>
        <v>1813615.3846153845</v>
      </c>
      <c r="H18" s="6"/>
      <c r="I18" s="10"/>
      <c r="J18" s="11">
        <v>60</v>
      </c>
      <c r="K18" s="12">
        <f>IF(ISNUMBER('[1]2 - Quy đổi VNĐ'!K20),('[1]2 - Quy đổi VNĐ'!K20+'3 - Giá Bán Đề Xuất'!$D$2)/(1-'3 - Giá Bán Đề Xuất'!$H$2),"")</f>
        <v>910769.23076923075</v>
      </c>
      <c r="L18" s="12">
        <f>IF(ISNUMBER('[1]2 - Quy đổi VNĐ'!L20),('[1]2 - Quy đổi VNĐ'!L20+'3 - Giá Bán Đề Xuất'!$D$2)/(1-'3 - Giá Bán Đề Xuất'!$H$2),"")</f>
        <v>1000307.6923076923</v>
      </c>
      <c r="M18" s="12">
        <f>IF(ISNUMBER('[1]2 - Quy đổi VNĐ'!M20),('[1]2 - Quy đổi VNĐ'!M20+'3 - Giá Bán Đề Xuất'!$D$2)/(1-'3 - Giá Bán Đề Xuất'!$H$2),"")</f>
        <v>1067461.5384615385</v>
      </c>
      <c r="N18" s="12">
        <f>IF(ISNUMBER('[1]2 - Quy đổi VNĐ'!N20),('[1]2 - Quy đổi VNĐ'!N20+'3 - Giá Bán Đề Xuất'!$D$2)/(1-'3 - Giá Bán Đề Xuất'!$H$2),"")</f>
        <v>1634538.4615384615</v>
      </c>
      <c r="O18" s="12">
        <f>IF(ISNUMBER('[1]2 - Quy đổi VNĐ'!O20),('[1]2 - Quy đổi VNĐ'!O20+'3 - Giá Bán Đề Xuất'!$D$2)/(1-'3 - Giá Bán Đề Xuất'!$H$2),"")</f>
        <v>2052384.6153846153</v>
      </c>
      <c r="P18" s="6"/>
      <c r="Q18" s="10"/>
      <c r="R18" s="11">
        <v>60</v>
      </c>
      <c r="S18" s="12">
        <f>IF(ISNUMBER('[1]2 - Quy đổi VNĐ'!S20),('[1]2 - Quy đổi VNĐ'!S20+'3 - Giá Bán Đề Xuất'!$D$2)/(1-'3 - Giá Bán Đề Xuất'!$H$2),"")</f>
        <v>1082384.6153846153</v>
      </c>
      <c r="T18" s="12">
        <f>IF(ISNUMBER('[1]2 - Quy đổi VNĐ'!T20),('[1]2 - Quy đổi VNĐ'!T20+'3 - Giá Bán Đề Xuất'!$D$2)/(1-'3 - Giá Bán Đề Xuất'!$H$2),"")</f>
        <v>1186846.1538461538</v>
      </c>
      <c r="U18" s="12">
        <f>IF(ISNUMBER('[1]2 - Quy đổi VNĐ'!U20),('[1]2 - Quy đổi VNĐ'!U20+'3 - Giá Bán Đề Xuất'!$D$2)/(1-'3 - Giá Bán Đề Xuất'!$H$2),"")</f>
        <v>1291307.6923076923</v>
      </c>
      <c r="V18" s="12">
        <f>IF(ISNUMBER('[1]2 - Quy đổi VNĐ'!V20),('[1]2 - Quy đổi VNĐ'!V20+'3 - Giá Bán Đề Xuất'!$D$2)/(1-'3 - Giá Bán Đề Xuất'!$H$2),"")</f>
        <v>1940461.5384615385</v>
      </c>
      <c r="W18" s="12">
        <f>IF(ISNUMBER('[1]2 - Quy đổi VNĐ'!W20),('[1]2 - Quy đổi VNĐ'!W20+'3 - Giá Bán Đề Xuất'!$D$2)/(1-'3 - Giá Bán Đề Xuất'!$H$2),"")</f>
        <v>2641846.1538461535</v>
      </c>
    </row>
    <row r="19" spans="1:23" ht="19.5" customHeight="1" x14ac:dyDescent="0.3">
      <c r="A19" s="13"/>
      <c r="B19" s="14">
        <v>70</v>
      </c>
      <c r="C19" s="12">
        <f>IF(ISNUMBER('[1]2 - Quy đổi VNĐ'!C21),('[1]2 - Quy đổi VNĐ'!C21+'3 - Giá Bán Đề Xuất'!$D$2)/(1-'3 - Giá Bán Đề Xuất'!$H$2),"")</f>
        <v>977923.07692307688</v>
      </c>
      <c r="D19" s="12">
        <f>IF(ISNUMBER('[1]2 - Quy đổi VNĐ'!D21),('[1]2 - Quy đổi VNĐ'!D21+'3 - Giá Bán Đề Xuất'!$D$2)/(1-'3 - Giá Bán Đề Xuất'!$H$2),"")</f>
        <v>1030153.8461538461</v>
      </c>
      <c r="E19" s="12">
        <f>IF(ISNUMBER('[1]2 - Quy đổi VNĐ'!E21),('[1]2 - Quy đổi VNĐ'!E21+'3 - Giá Bán Đề Xuất'!$D$2)/(1-'3 - Giá Bán Đề Xuất'!$H$2),"")</f>
        <v>1097307.6923076923</v>
      </c>
      <c r="F19" s="12">
        <f>IF(ISNUMBER('[1]2 - Quy đổi VNĐ'!F21),('[1]2 - Quy đổi VNĐ'!F21+'3 - Giá Bán Đề Xuất'!$D$2)/(1-'3 - Giá Bán Đề Xuất'!$H$2),"")</f>
        <v>1574846.1538461538</v>
      </c>
      <c r="G19" s="12">
        <f>IF(ISNUMBER('[1]2 - Quy đổi VNĐ'!G21),('[1]2 - Quy đổi VNĐ'!G21+'3 - Giá Bán Đề Xuất'!$D$2)/(1-'3 - Giá Bán Đề Xuất'!$H$2),"")</f>
        <v>1962846.1538461538</v>
      </c>
      <c r="H19" s="6"/>
      <c r="I19" s="13"/>
      <c r="J19" s="14">
        <v>70</v>
      </c>
      <c r="K19" s="12">
        <f>IF(ISNUMBER('[1]2 - Quy đổi VNĐ'!K21),('[1]2 - Quy đổi VNĐ'!K21+'3 - Giá Bán Đề Xuất'!$D$2)/(1-'3 - Giá Bán Đề Xuất'!$H$2),"")</f>
        <v>977923.07692307688</v>
      </c>
      <c r="L19" s="12">
        <f>IF(ISNUMBER('[1]2 - Quy đổi VNĐ'!L21),('[1]2 - Quy đổi VNĐ'!L21+'3 - Giá Bán Đề Xuất'!$D$2)/(1-'3 - Giá Bán Đề Xuất'!$H$2),"")</f>
        <v>1074923.076923077</v>
      </c>
      <c r="M19" s="12">
        <f>IF(ISNUMBER('[1]2 - Quy đổi VNĐ'!M21),('[1]2 - Quy đổi VNĐ'!M21+'3 - Giá Bán Đề Xuất'!$D$2)/(1-'3 - Giá Bán Đề Xuất'!$H$2),"")</f>
        <v>1104769.2307692308</v>
      </c>
      <c r="N19" s="12">
        <f>IF(ISNUMBER('[1]2 - Quy đổi VNĐ'!N21),('[1]2 - Quy đổi VNĐ'!N21+'3 - Giá Bán Đề Xuất'!$D$2)/(1-'3 - Giá Bán Đề Xuất'!$H$2),"")</f>
        <v>1642000</v>
      </c>
      <c r="O19" s="12">
        <f>IF(ISNUMBER('[1]2 - Quy đổi VNĐ'!O21),('[1]2 - Quy đổi VNĐ'!O21+'3 - Giá Bán Đề Xuất'!$D$2)/(1-'3 - Giá Bán Đề Xuất'!$H$2),"")</f>
        <v>2074769.2307692308</v>
      </c>
      <c r="P19" s="6"/>
      <c r="Q19" s="13"/>
      <c r="R19" s="14">
        <v>70</v>
      </c>
      <c r="S19" s="12">
        <f>IF(ISNUMBER('[1]2 - Quy đổi VNĐ'!S21),('[1]2 - Quy đổi VNĐ'!S21+'3 - Giá Bán Đề Xuất'!$D$2)/(1-'3 - Giá Bán Đề Xuất'!$H$2),"")</f>
        <v>1194307.6923076923</v>
      </c>
      <c r="T19" s="12">
        <f>IF(ISNUMBER('[1]2 - Quy đổi VNĐ'!T21),('[1]2 - Quy đổi VNĐ'!T21+'3 - Giá Bán Đề Xuất'!$D$2)/(1-'3 - Giá Bán Đề Xuất'!$H$2),"")</f>
        <v>1313692.3076923077</v>
      </c>
      <c r="U19" s="12">
        <f>IF(ISNUMBER('[1]2 - Quy đổi VNĐ'!U21),('[1]2 - Quy đổi VNĐ'!U21+'3 - Giá Bán Đề Xuất'!$D$2)/(1-'3 - Giá Bán Đề Xuất'!$H$2),"")</f>
        <v>1336076.923076923</v>
      </c>
      <c r="V19" s="12">
        <f>IF(ISNUMBER('[1]2 - Quy đổi VNĐ'!V21),('[1]2 - Quy đổi VNĐ'!V21+'3 - Giá Bán Đề Xuất'!$D$2)/(1-'3 - Giá Bán Đề Xuất'!$H$2),"")</f>
        <v>1955384.6153846153</v>
      </c>
      <c r="W19" s="12">
        <f>IF(ISNUMBER('[1]2 - Quy đổi VNĐ'!W21),('[1]2 - Quy đổi VNĐ'!W21+'3 - Giá Bán Đề Xuất'!$D$2)/(1-'3 - Giá Bán Đề Xuất'!$H$2),"")</f>
        <v>2768692.3076923075</v>
      </c>
    </row>
    <row r="20" spans="1:23" ht="19.5" customHeight="1" x14ac:dyDescent="0.3">
      <c r="A20" s="10"/>
      <c r="B20" s="11">
        <v>80</v>
      </c>
      <c r="C20" s="12">
        <f>IF(ISNUMBER('[1]2 - Quy đổi VNĐ'!C22),('[1]2 - Quy đổi VNĐ'!C22+'3 - Giá Bán Đề Xuất'!$D$2)/(1-'3 - Giá Bán Đề Xuất'!$H$2),"")</f>
        <v>1328615.3846153845</v>
      </c>
      <c r="D20" s="12">
        <f>IF(ISNUMBER('[1]2 - Quy đổi VNĐ'!D22),('[1]2 - Quy đổi VNĐ'!D22+'3 - Giá Bán Đề Xuất'!$D$2)/(1-'3 - Giá Bán Đề Xuất'!$H$2),"")</f>
        <v>1418153.846153846</v>
      </c>
      <c r="E20" s="12">
        <f>IF(ISNUMBER('[1]2 - Quy đổi VNĐ'!E22),('[1]2 - Quy đổi VNĐ'!E22+'3 - Giá Bán Đề Xuất'!$D$2)/(1-'3 - Giá Bán Đề Xuất'!$H$2),"")</f>
        <v>1500230.7692307692</v>
      </c>
      <c r="F20" s="12">
        <f>IF(ISNUMBER('[1]2 - Quy đổi VNĐ'!F22),('[1]2 - Quy đổi VNĐ'!F22+'3 - Giá Bán Đề Xuất'!$D$2)/(1-'3 - Giá Bán Đề Xuất'!$H$2),"")</f>
        <v>1873307.6923076923</v>
      </c>
      <c r="G20" s="12">
        <f>IF(ISNUMBER('[1]2 - Quy đổi VNĐ'!G22),('[1]2 - Quy đổi VNĐ'!G22+'3 - Giá Bán Đề Xuất'!$D$2)/(1-'3 - Giá Bán Đề Xuất'!$H$2),"")</f>
        <v>2186692.3076923075</v>
      </c>
      <c r="H20" s="6"/>
      <c r="I20" s="10"/>
      <c r="J20" s="11">
        <v>80</v>
      </c>
      <c r="K20" s="12">
        <f>IF(ISNUMBER('[1]2 - Quy đổi VNĐ'!K22),('[1]2 - Quy đổi VNĐ'!K22+'3 - Giá Bán Đề Xuất'!$D$2)/(1-'3 - Giá Bán Đề Xuất'!$H$2),"")</f>
        <v>1328615.3846153845</v>
      </c>
      <c r="L20" s="12">
        <f>IF(ISNUMBER('[1]2 - Quy đổi VNĐ'!L22),('[1]2 - Quy đổi VNĐ'!L22+'3 - Giá Bán Đề Xuất'!$D$2)/(1-'3 - Giá Bán Đề Xuất'!$H$2),"")</f>
        <v>1462923.0769230768</v>
      </c>
      <c r="M20" s="12">
        <f>IF(ISNUMBER('[1]2 - Quy đổi VNĐ'!M22),('[1]2 - Quy đổi VNĐ'!M22+'3 - Giá Bán Đề Xuất'!$D$2)/(1-'3 - Giá Bán Đề Xuất'!$H$2),"")</f>
        <v>1552461.5384615385</v>
      </c>
      <c r="N20" s="12">
        <f>IF(ISNUMBER('[1]2 - Quy đổi VNĐ'!N22),('[1]2 - Quy đổi VNĐ'!N22+'3 - Giá Bán Đề Xuất'!$D$2)/(1-'3 - Giá Bán Đề Xuất'!$H$2),"")</f>
        <v>1955384.6153846153</v>
      </c>
      <c r="O20" s="12">
        <f>IF(ISNUMBER('[1]2 - Quy đổi VNĐ'!O22),('[1]2 - Quy đổi VNĐ'!O22+'3 - Giá Bán Đề Xuất'!$D$2)/(1-'3 - Giá Bán Đề Xuất'!$H$2),"")</f>
        <v>2544846.153846154</v>
      </c>
      <c r="P20" s="6"/>
      <c r="Q20" s="10"/>
      <c r="R20" s="11">
        <v>80</v>
      </c>
      <c r="S20" s="12">
        <f>IF(ISNUMBER('[1]2 - Quy đổi VNĐ'!S22),('[1]2 - Quy đổi VNĐ'!S22+'3 - Giá Bán Đề Xuất'!$D$2)/(1-'3 - Giá Bán Đề Xuất'!$H$2),"")</f>
        <v>1604692.3076923077</v>
      </c>
      <c r="T20" s="12">
        <f>IF(ISNUMBER('[1]2 - Quy đổi VNĐ'!T22),('[1]2 - Quy đổi VNĐ'!T22+'3 - Giá Bán Đề Xuất'!$D$2)/(1-'3 - Giá Bán Đề Xuất'!$H$2),"")</f>
        <v>1761384.6153846153</v>
      </c>
      <c r="U20" s="12">
        <f>IF(ISNUMBER('[1]2 - Quy đổi VNĐ'!U22),('[1]2 - Quy đổi VNĐ'!U22+'3 - Giá Bán Đề Xuất'!$D$2)/(1-'3 - Giá Bán Đề Xuất'!$H$2),"")</f>
        <v>1873307.6923076923</v>
      </c>
      <c r="V20" s="12">
        <f>IF(ISNUMBER('[1]2 - Quy đổi VNĐ'!V22),('[1]2 - Quy đổi VNĐ'!V22+'3 - Giá Bán Đề Xuất'!$D$2)/(1-'3 - Giá Bán Đề Xuất'!$H$2),"")</f>
        <v>2328461.5384615385</v>
      </c>
      <c r="W20" s="12">
        <f>IF(ISNUMBER('[1]2 - Quy đổi VNĐ'!W22),('[1]2 - Quy đổi VNĐ'!W22+'3 - Giá Bán Đề Xuất'!$D$2)/(1-'3 - Giá Bán Đề Xuất'!$H$2),"")</f>
        <v>3194000</v>
      </c>
    </row>
    <row r="21" spans="1:23" ht="19.5" customHeight="1" x14ac:dyDescent="0.3">
      <c r="A21" s="13"/>
      <c r="B21" s="14">
        <v>90</v>
      </c>
      <c r="C21" s="12">
        <f>IF(ISNUMBER('[1]2 - Quy đổi VNĐ'!C23),('[1]2 - Quy đổi VNĐ'!C23+'3 - Giá Bán Đề Xuất'!$D$2)/(1-'3 - Giá Bán Đề Xuất'!$H$2),"")</f>
        <v>1380846.1538461538</v>
      </c>
      <c r="D21" s="12">
        <f>IF(ISNUMBER('[1]2 - Quy đổi VNĐ'!D23),('[1]2 - Quy đổi VNĐ'!D23+'3 - Giá Bán Đề Xuất'!$D$2)/(1-'3 - Giá Bán Đề Xuất'!$H$2),"")</f>
        <v>1462923.0769230768</v>
      </c>
      <c r="E21" s="12">
        <f>IF(ISNUMBER('[1]2 - Quy đổi VNĐ'!E23),('[1]2 - Quy đổi VNĐ'!E23+'3 - Giá Bán Đề Xuất'!$D$2)/(1-'3 - Giá Bán Đề Xuất'!$H$2),"")</f>
        <v>1545000</v>
      </c>
      <c r="F21" s="12">
        <f>IF(ISNUMBER('[1]2 - Quy đổi VNĐ'!F23),('[1]2 - Quy đổi VNĐ'!F23+'3 - Giá Bán Đề Xuất'!$D$2)/(1-'3 - Giá Bán Đề Xuất'!$H$2),"")</f>
        <v>1895692.3076923075</v>
      </c>
      <c r="G21" s="12">
        <f>IF(ISNUMBER('[1]2 - Quy đổi VNĐ'!G23),('[1]2 - Quy đổi VNĐ'!G23+'3 - Giá Bán Đề Xuất'!$D$2)/(1-'3 - Giá Bán Đề Xuất'!$H$2),"")</f>
        <v>2418000</v>
      </c>
      <c r="H21" s="6"/>
      <c r="I21" s="13"/>
      <c r="J21" s="14">
        <v>90</v>
      </c>
      <c r="K21" s="12">
        <f>IF(ISNUMBER('[1]2 - Quy đổi VNĐ'!K23),('[1]2 - Quy đổi VNĐ'!K23+'3 - Giá Bán Đề Xuất'!$D$2)/(1-'3 - Giá Bán Đề Xuất'!$H$2),"")</f>
        <v>1380846.1538461538</v>
      </c>
      <c r="L21" s="12">
        <f>IF(ISNUMBER('[1]2 - Quy đổi VNĐ'!L23),('[1]2 - Quy đổi VNĐ'!L23+'3 - Giá Bán Đề Xuất'!$D$2)/(1-'3 - Giá Bán Đề Xuất'!$H$2),"")</f>
        <v>1515153.846153846</v>
      </c>
      <c r="M21" s="12">
        <f>IF(ISNUMBER('[1]2 - Quy đổi VNĐ'!M23),('[1]2 - Quy đổi VNĐ'!M23+'3 - Giá Bán Đề Xuất'!$D$2)/(1-'3 - Giá Bán Đề Xuất'!$H$2),"")</f>
        <v>1589769.2307692308</v>
      </c>
      <c r="N21" s="12">
        <f>IF(ISNUMBER('[1]2 - Quy đổi VNĐ'!N23),('[1]2 - Quy đổi VNĐ'!N23+'3 - Giá Bán Đề Xuất'!$D$2)/(1-'3 - Giá Bán Đề Xuất'!$H$2),"")</f>
        <v>1947923.0769230768</v>
      </c>
      <c r="O21" s="12">
        <f>IF(ISNUMBER('[1]2 - Quy đổi VNĐ'!O23),('[1]2 - Quy đổi VNĐ'!O23+'3 - Giá Bán Đề Xuất'!$D$2)/(1-'3 - Giá Bán Đề Xuất'!$H$2),"")</f>
        <v>2828384.6153846155</v>
      </c>
      <c r="P21" s="6"/>
      <c r="Q21" s="13"/>
      <c r="R21" s="14">
        <v>90</v>
      </c>
      <c r="S21" s="12">
        <f>IF(ISNUMBER('[1]2 - Quy đổi VNĐ'!S23),('[1]2 - Quy đổi VNĐ'!S23+'3 - Giá Bán Đề Xuất'!$D$2)/(1-'3 - Giá Bán Đề Xuất'!$H$2),"")</f>
        <v>1694230.7692307692</v>
      </c>
      <c r="T21" s="12">
        <f>IF(ISNUMBER('[1]2 - Quy đổi VNĐ'!T23),('[1]2 - Quy đổi VNĐ'!T23+'3 - Giá Bán Đề Xuất'!$D$2)/(1-'3 - Giá Bán Đề Xuất'!$H$2),"")</f>
        <v>1865846.1538461538</v>
      </c>
      <c r="U21" s="12">
        <f>IF(ISNUMBER('[1]2 - Quy đổi VNĐ'!U23),('[1]2 - Quy đổi VNĐ'!U23+'3 - Giá Bán Đề Xuất'!$D$2)/(1-'3 - Giá Bán Đề Xuất'!$H$2),"")</f>
        <v>1910615.3846153845</v>
      </c>
      <c r="V21" s="12">
        <f>IF(ISNUMBER('[1]2 - Quy đổi VNĐ'!V23),('[1]2 - Quy đổi VNĐ'!V23+'3 - Giá Bán Đề Xuất'!$D$2)/(1-'3 - Giá Bán Đề Xuất'!$H$2),"")</f>
        <v>2365769.2307692305</v>
      </c>
      <c r="W21" s="12">
        <f>IF(ISNUMBER('[1]2 - Quy đổi VNĐ'!W23),('[1]2 - Quy đổi VNĐ'!W23+'3 - Giá Bán Đề Xuất'!$D$2)/(1-'3 - Giá Bán Đề Xuất'!$H$2),"")</f>
        <v>3455153.846153846</v>
      </c>
    </row>
    <row r="22" spans="1:23" ht="19.5" customHeight="1" x14ac:dyDescent="0.3">
      <c r="A22" s="10"/>
      <c r="B22" s="11">
        <v>100</v>
      </c>
      <c r="C22" s="12" t="str">
        <f>IF(ISNUMBER('[1]2 - Quy đổi VNĐ'!C24),('[1]2 - Quy đổi VNĐ'!C24+'3 - Giá Bán Đề Xuất'!$D$2)/(1-'3 - Giá Bán Đề Xuất'!$H$2),"")</f>
        <v/>
      </c>
      <c r="D22" s="12" t="str">
        <f>IF(ISNUMBER('[1]2 - Quy đổi VNĐ'!D24),('[1]2 - Quy đổi VNĐ'!D24+'3 - Giá Bán Đề Xuất'!$D$2)/(1-'3 - Giá Bán Đề Xuất'!$H$2),"")</f>
        <v/>
      </c>
      <c r="E22" s="12" t="str">
        <f>IF(ISNUMBER('[1]2 - Quy đổi VNĐ'!E24),('[1]2 - Quy đổi VNĐ'!E24+'3 - Giá Bán Đề Xuất'!$D$2)/(1-'3 - Giá Bán Đề Xuất'!$H$2),"")</f>
        <v/>
      </c>
      <c r="F22" s="12" t="str">
        <f>IF(ISNUMBER('[1]2 - Quy đổi VNĐ'!F24),('[1]2 - Quy đổi VNĐ'!F24+'3 - Giá Bán Đề Xuất'!$D$2)/(1-'3 - Giá Bán Đề Xuất'!$H$2),"")</f>
        <v/>
      </c>
      <c r="G22" s="12" t="str">
        <f>IF(ISNUMBER('[1]2 - Quy đổi VNĐ'!G24),('[1]2 - Quy đổi VNĐ'!G24+'3 - Giá Bán Đề Xuất'!$D$2)/(1-'3 - Giá Bán Đề Xuất'!$H$2),"")</f>
        <v/>
      </c>
      <c r="H22" s="6"/>
      <c r="I22" s="10"/>
      <c r="J22" s="11">
        <v>100</v>
      </c>
      <c r="K22" s="12" t="str">
        <f>IF(ISNUMBER('[1]2 - Quy đổi VNĐ'!K24),('[1]2 - Quy đổi VNĐ'!K24+'3 - Giá Bán Đề Xuất'!$D$2)/(1-'3 - Giá Bán Đề Xuất'!$H$2),"")</f>
        <v/>
      </c>
      <c r="L22" s="12" t="str">
        <f>IF(ISNUMBER('[1]2 - Quy đổi VNĐ'!L24),('[1]2 - Quy đổi VNĐ'!L24+'3 - Giá Bán Đề Xuất'!$D$2)/(1-'3 - Giá Bán Đề Xuất'!$H$2),"")</f>
        <v/>
      </c>
      <c r="M22" s="12" t="str">
        <f>IF(ISNUMBER('[1]2 - Quy đổi VNĐ'!M24),('[1]2 - Quy đổi VNĐ'!M24+'3 - Giá Bán Đề Xuất'!$D$2)/(1-'3 - Giá Bán Đề Xuất'!$H$2),"")</f>
        <v/>
      </c>
      <c r="N22" s="12" t="str">
        <f>IF(ISNUMBER('[1]2 - Quy đổi VNĐ'!N24),('[1]2 - Quy đổi VNĐ'!N24+'3 - Giá Bán Đề Xuất'!$D$2)/(1-'3 - Giá Bán Đề Xuất'!$H$2),"")</f>
        <v/>
      </c>
      <c r="O22" s="12" t="str">
        <f>IF(ISNUMBER('[1]2 - Quy đổi VNĐ'!O24),('[1]2 - Quy đổi VNĐ'!O24+'3 - Giá Bán Đề Xuất'!$D$2)/(1-'3 - Giá Bán Đề Xuất'!$H$2),"")</f>
        <v/>
      </c>
      <c r="P22" s="6"/>
      <c r="Q22" s="10"/>
      <c r="R22" s="11">
        <v>100</v>
      </c>
      <c r="S22" s="12" t="str">
        <f>IF(ISNUMBER('[1]2 - Quy đổi VNĐ'!S24),('[1]2 - Quy đổi VNĐ'!S24+'3 - Giá Bán Đề Xuất'!$D$2)/(1-'3 - Giá Bán Đề Xuất'!$H$2),"")</f>
        <v/>
      </c>
      <c r="T22" s="12" t="str">
        <f>IF(ISNUMBER('[1]2 - Quy đổi VNĐ'!T24),('[1]2 - Quy đổi VNĐ'!T24+'3 - Giá Bán Đề Xuất'!$D$2)/(1-'3 - Giá Bán Đề Xuất'!$H$2),"")</f>
        <v/>
      </c>
      <c r="U22" s="12" t="str">
        <f>IF(ISNUMBER('[1]2 - Quy đổi VNĐ'!U24),('[1]2 - Quy đổi VNĐ'!U24+'3 - Giá Bán Đề Xuất'!$D$2)/(1-'3 - Giá Bán Đề Xuất'!$H$2),"")</f>
        <v/>
      </c>
      <c r="V22" s="12" t="str">
        <f>IF(ISNUMBER('[1]2 - Quy đổi VNĐ'!V24),('[1]2 - Quy đổi VNĐ'!V24+'3 - Giá Bán Đề Xuất'!$D$2)/(1-'3 - Giá Bán Đề Xuất'!$H$2),"")</f>
        <v/>
      </c>
      <c r="W22" s="12" t="str">
        <f>IF(ISNUMBER('[1]2 - Quy đổi VNĐ'!W24),('[1]2 - Quy đổi VNĐ'!W24+'3 - Giá Bán Đề Xuất'!$D$2)/(1-'3 - Giá Bán Đề Xuất'!$H$2),"")</f>
        <v/>
      </c>
    </row>
    <row r="23" spans="1:23" ht="4.5" customHeight="1" x14ac:dyDescent="0.3">
      <c r="A23" s="15"/>
      <c r="B23" s="15"/>
      <c r="C23" s="15"/>
      <c r="D23" s="15"/>
      <c r="E23" s="15"/>
      <c r="F23" s="15"/>
      <c r="G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21.75" customHeight="1" x14ac:dyDescent="0.3">
      <c r="A24" s="16"/>
      <c r="B24" s="16"/>
      <c r="C24" s="16"/>
      <c r="D24" s="16"/>
      <c r="E24" s="16"/>
      <c r="F24" s="16"/>
      <c r="G24" s="16"/>
      <c r="H24" s="6"/>
      <c r="P24" s="6"/>
    </row>
    <row r="25" spans="1:23" ht="21.75" customHeight="1" x14ac:dyDescent="0.3">
      <c r="A25" s="7" t="s">
        <v>16</v>
      </c>
      <c r="B25" s="7"/>
      <c r="C25" s="7"/>
      <c r="D25" s="7"/>
      <c r="E25" s="7"/>
      <c r="F25" s="7"/>
      <c r="G25" s="7"/>
      <c r="H25" s="6"/>
      <c r="I25" s="7" t="s">
        <v>17</v>
      </c>
      <c r="J25" s="7"/>
      <c r="K25" s="7"/>
      <c r="L25" s="7"/>
      <c r="M25" s="7"/>
      <c r="N25" s="7"/>
      <c r="O25" s="7"/>
      <c r="P25" s="6"/>
      <c r="Q25" s="7" t="s">
        <v>18</v>
      </c>
      <c r="R25" s="7"/>
      <c r="S25" s="7"/>
      <c r="T25" s="7"/>
      <c r="U25" s="7"/>
      <c r="V25" s="7"/>
      <c r="W25" s="7"/>
    </row>
    <row r="26" spans="1:23" ht="19.5" customHeight="1" x14ac:dyDescent="0.3">
      <c r="A26" s="8"/>
      <c r="B26" s="9" t="s">
        <v>7</v>
      </c>
      <c r="C26" s="9" t="s">
        <v>8</v>
      </c>
      <c r="D26" s="9" t="s">
        <v>9</v>
      </c>
      <c r="E26" s="9" t="s">
        <v>10</v>
      </c>
      <c r="F26" s="9" t="s">
        <v>11</v>
      </c>
      <c r="G26" s="9" t="s">
        <v>12</v>
      </c>
      <c r="H26" s="6"/>
      <c r="I26" s="8"/>
      <c r="J26" s="9" t="s">
        <v>7</v>
      </c>
      <c r="K26" s="9" t="s">
        <v>8</v>
      </c>
      <c r="L26" s="9" t="s">
        <v>9</v>
      </c>
      <c r="M26" s="9" t="s">
        <v>10</v>
      </c>
      <c r="N26" s="9" t="s">
        <v>11</v>
      </c>
      <c r="O26" s="9" t="s">
        <v>12</v>
      </c>
      <c r="P26" s="6"/>
      <c r="Q26" s="8"/>
      <c r="R26" s="9" t="s">
        <v>7</v>
      </c>
      <c r="S26" s="9" t="s">
        <v>8</v>
      </c>
      <c r="T26" s="9" t="s">
        <v>9</v>
      </c>
      <c r="U26" s="9" t="s">
        <v>10</v>
      </c>
      <c r="V26" s="9" t="s">
        <v>11</v>
      </c>
      <c r="W26" s="9" t="s">
        <v>12</v>
      </c>
    </row>
    <row r="27" spans="1:23" ht="19.5" customHeight="1" x14ac:dyDescent="0.3">
      <c r="A27" s="10"/>
      <c r="B27" s="11">
        <v>40</v>
      </c>
      <c r="C27" s="12">
        <f>IF(ISNUMBER('[1]2 - Quy đổi VNĐ'!C29),('[1]2 - Quy đổi VNĐ'!C29+'3 - Giá Bán Đề Xuất'!$D$2)/(1-'3 - Giá Bán Đề Xuất'!$H$2),"")</f>
        <v>1045076.923076923</v>
      </c>
      <c r="D27" s="12">
        <f>IF(ISNUMBER('[1]2 - Quy đổi VNĐ'!D29),('[1]2 - Quy đổi VNĐ'!D29+'3 - Giá Bán Đề Xuất'!$D$2)/(1-'3 - Giá Bán Đề Xuất'!$H$2),"")</f>
        <v>1149538.4615384615</v>
      </c>
      <c r="E27" s="12">
        <f>IF(ISNUMBER('[1]2 - Quy đổi VNĐ'!E29),('[1]2 - Quy đổi VNĐ'!E29+'3 - Giá Bán Đề Xuất'!$D$2)/(1-'3 - Giá Bán Đề Xuất'!$H$2),"")</f>
        <v>1112230.7692307692</v>
      </c>
      <c r="F27" s="12">
        <f>IF(ISNUMBER('[1]2 - Quy đổi VNĐ'!F29),('[1]2 - Quy đổi VNĐ'!F29+'3 - Giá Bán Đề Xuất'!$D$2)/(1-'3 - Giá Bán Đề Xuất'!$H$2),"")</f>
        <v>1865846.1538461538</v>
      </c>
      <c r="G27" s="12">
        <f>IF(ISNUMBER('[1]2 - Quy đổi VNĐ'!G29),('[1]2 - Quy đổi VNĐ'!G29+'3 - Giá Bán Đề Xuất'!$D$2)/(1-'3 - Giá Bán Đề Xuất'!$H$2),"")</f>
        <v>2149384.6153846155</v>
      </c>
      <c r="H27" s="6"/>
      <c r="I27" s="10"/>
      <c r="J27" s="11">
        <v>40</v>
      </c>
      <c r="K27" s="12">
        <f>IF(ISNUMBER('[1]2 - Quy đổi VNĐ'!K29),('[1]2 - Quy đổi VNĐ'!K29+'3 - Giá Bán Đề Xuất'!$D$2)/(1-'3 - Giá Bán Đề Xuất'!$H$2),"")</f>
        <v>1119692.3076923077</v>
      </c>
      <c r="L27" s="12">
        <f>IF(ISNUMBER('[1]2 - Quy đổi VNĐ'!L29),('[1]2 - Quy đổi VNĐ'!L29+'3 - Giá Bán Đề Xuất'!$D$2)/(1-'3 - Giá Bán Đề Xuất'!$H$2),"")</f>
        <v>1231615.3846153845</v>
      </c>
      <c r="M27" s="12">
        <f>IF(ISNUMBER('[1]2 - Quy đổi VNĐ'!M29),('[1]2 - Quy đổi VNĐ'!M29+'3 - Giá Bán Đề Xuất'!$D$2)/(1-'3 - Giá Bán Đề Xuất'!$H$2),"")</f>
        <v>1283846.1538461538</v>
      </c>
      <c r="N27" s="12">
        <f>IF(ISNUMBER('[1]2 - Quy đổi VNĐ'!N29),('[1]2 - Quy đổi VNĐ'!N29+'3 - Giá Bán Đề Xuất'!$D$2)/(1-'3 - Giá Bán Đề Xuất'!$H$2),"")</f>
        <v>2164307.692307692</v>
      </c>
      <c r="O27" s="12">
        <f>IF(ISNUMBER('[1]2 - Quy đổi VNĐ'!O29),('[1]2 - Quy đổi VNĐ'!O29+'3 - Giá Bán Đề Xuất'!$D$2)/(1-'3 - Giá Bán Đề Xuất'!$H$2),"")</f>
        <v>2567230.769230769</v>
      </c>
      <c r="P27" s="6"/>
      <c r="Q27" s="10"/>
      <c r="R27" s="11">
        <v>40</v>
      </c>
      <c r="S27" s="12" t="str">
        <f>IF(ISNUMBER('[1]2 - Quy đổi VNĐ'!S29),('[1]2 - Quy đổi VNĐ'!S29+'3 - Giá Bán Đề Xuất'!$D$2)/(1-'3 - Giá Bán Đề Xuất'!$H$2),"")</f>
        <v/>
      </c>
      <c r="T27" s="12" t="str">
        <f>IF(ISNUMBER('[1]2 - Quy đổi VNĐ'!T29),('[1]2 - Quy đổi VNĐ'!T29+'3 - Giá Bán Đề Xuất'!$D$2)/(1-'3 - Giá Bán Đề Xuất'!$H$2),"")</f>
        <v/>
      </c>
      <c r="U27" s="12" t="str">
        <f>IF(ISNUMBER('[1]2 - Quy đổi VNĐ'!U29),('[1]2 - Quy đổi VNĐ'!U29+'3 - Giá Bán Đề Xuất'!$D$2)/(1-'3 - Giá Bán Đề Xuất'!$H$2),"")</f>
        <v/>
      </c>
      <c r="V27" s="12" t="str">
        <f>IF(ISNUMBER('[1]2 - Quy đổi VNĐ'!V29),('[1]2 - Quy đổi VNĐ'!V29+'3 - Giá Bán Đề Xuất'!$D$2)/(1-'3 - Giá Bán Đề Xuất'!$H$2),"")</f>
        <v/>
      </c>
      <c r="W27" s="12" t="str">
        <f>IF(ISNUMBER('[1]2 - Quy đổi VNĐ'!W29),('[1]2 - Quy đổi VNĐ'!W29+'3 - Giá Bán Đề Xuất'!$D$2)/(1-'3 - Giá Bán Đề Xuất'!$H$2),"")</f>
        <v/>
      </c>
    </row>
    <row r="28" spans="1:23" ht="19.5" customHeight="1" x14ac:dyDescent="0.3">
      <c r="A28" s="13"/>
      <c r="B28" s="14">
        <v>50</v>
      </c>
      <c r="C28" s="12">
        <f>IF(ISNUMBER('[1]2 - Quy đổi VNĐ'!C30),('[1]2 - Quy đổi VNĐ'!C30+'3 - Giá Bán Đề Xuất'!$D$2)/(1-'3 - Giá Bán Đề Xuất'!$H$2),"")</f>
        <v>1097307.6923076923</v>
      </c>
      <c r="D28" s="12">
        <f>IF(ISNUMBER('[1]2 - Quy đổi VNĐ'!D30),('[1]2 - Quy đổi VNĐ'!D30+'3 - Giá Bán Đề Xuất'!$D$2)/(1-'3 - Giá Bán Đề Xuất'!$H$2),"")</f>
        <v>1209230.7692307692</v>
      </c>
      <c r="E28" s="12">
        <f>IF(ISNUMBER('[1]2 - Quy đổi VNĐ'!E30),('[1]2 - Quy đổi VNĐ'!E30+'3 - Giá Bán Đề Xuất'!$D$2)/(1-'3 - Giá Bán Đề Xuất'!$H$2),"")</f>
        <v>1209230.7692307692</v>
      </c>
      <c r="F28" s="12">
        <f>IF(ISNUMBER('[1]2 - Quy đổi VNĐ'!F30),('[1]2 - Quy đổi VNĐ'!F30+'3 - Giá Bán Đề Xuất'!$D$2)/(1-'3 - Giá Bán Đề Xuất'!$H$2),"")</f>
        <v>1895692.3076923075</v>
      </c>
      <c r="G28" s="12">
        <f>IF(ISNUMBER('[1]2 - Quy đổi VNĐ'!G30),('[1]2 - Quy đổi VNĐ'!G30+'3 - Giá Bán Đề Xuất'!$D$2)/(1-'3 - Giá Bán Đề Xuất'!$H$2),"")</f>
        <v>2186692.3076923075</v>
      </c>
      <c r="H28" s="6"/>
      <c r="I28" s="13"/>
      <c r="J28" s="14">
        <v>50</v>
      </c>
      <c r="K28" s="12">
        <f>IF(ISNUMBER('[1]2 - Quy đổi VNĐ'!K30),('[1]2 - Quy đổi VNĐ'!K30+'3 - Giá Bán Đề Xuất'!$D$2)/(1-'3 - Giá Bán Đề Xuất'!$H$2),"")</f>
        <v>1209230.7692307692</v>
      </c>
      <c r="L28" s="12">
        <f>IF(ISNUMBER('[1]2 - Quy đổi VNĐ'!L30),('[1]2 - Quy đổi VNĐ'!L30+'3 - Giá Bán Đề Xuất'!$D$2)/(1-'3 - Giá Bán Đề Xuất'!$H$2),"")</f>
        <v>1328615.3846153845</v>
      </c>
      <c r="M28" s="12">
        <f>IF(ISNUMBER('[1]2 - Quy đổi VNĐ'!M30),('[1]2 - Quy đổi VNĐ'!M30+'3 - Giá Bán Đề Xuất'!$D$2)/(1-'3 - Giá Bán Đề Xuất'!$H$2),"")</f>
        <v>1365923.0769230768</v>
      </c>
      <c r="N28" s="12">
        <f>IF(ISNUMBER('[1]2 - Quy đổi VNĐ'!N30),('[1]2 - Quy đổi VNĐ'!N30+'3 - Giá Bán Đề Xuất'!$D$2)/(1-'3 - Giá Bán Đề Xuất'!$H$2),"")</f>
        <v>2171769.2307692305</v>
      </c>
      <c r="O28" s="12">
        <f>IF(ISNUMBER('[1]2 - Quy đổi VNĐ'!O30),('[1]2 - Quy đổi VNĐ'!O30+'3 - Giá Bán Đề Xuất'!$D$2)/(1-'3 - Giá Bán Đề Xuất'!$H$2),"")</f>
        <v>2604538.4615384615</v>
      </c>
      <c r="P28" s="6"/>
      <c r="Q28" s="13"/>
      <c r="R28" s="14">
        <v>50</v>
      </c>
      <c r="S28" s="12" t="str">
        <f>IF(ISNUMBER('[1]2 - Quy đổi VNĐ'!S30),('[1]2 - Quy đổi VNĐ'!S30+'3 - Giá Bán Đề Xuất'!$D$2)/(1-'3 - Giá Bán Đề Xuất'!$H$2),"")</f>
        <v/>
      </c>
      <c r="T28" s="12" t="str">
        <f>IF(ISNUMBER('[1]2 - Quy đổi VNĐ'!T30),('[1]2 - Quy đổi VNĐ'!T30+'3 - Giá Bán Đề Xuất'!$D$2)/(1-'3 - Giá Bán Đề Xuất'!$H$2),"")</f>
        <v/>
      </c>
      <c r="U28" s="12" t="str">
        <f>IF(ISNUMBER('[1]2 - Quy đổi VNĐ'!U30),('[1]2 - Quy đổi VNĐ'!U30+'3 - Giá Bán Đề Xuất'!$D$2)/(1-'3 - Giá Bán Đề Xuất'!$H$2),"")</f>
        <v/>
      </c>
      <c r="V28" s="12" t="str">
        <f>IF(ISNUMBER('[1]2 - Quy đổi VNĐ'!V30),('[1]2 - Quy đổi VNĐ'!V30+'3 - Giá Bán Đề Xuất'!$D$2)/(1-'3 - Giá Bán Đề Xuất'!$H$2),"")</f>
        <v/>
      </c>
      <c r="W28" s="12" t="str">
        <f>IF(ISNUMBER('[1]2 - Quy đổi VNĐ'!W30),('[1]2 - Quy đổi VNĐ'!W30+'3 - Giá Bán Đề Xuất'!$D$2)/(1-'3 - Giá Bán Đề Xuất'!$H$2),"")</f>
        <v/>
      </c>
    </row>
    <row r="29" spans="1:23" ht="19.5" customHeight="1" x14ac:dyDescent="0.3">
      <c r="A29" s="10"/>
      <c r="B29" s="11">
        <v>60</v>
      </c>
      <c r="C29" s="12">
        <f>IF(ISNUMBER('[1]2 - Quy đổi VNĐ'!C31),('[1]2 - Quy đổi VNĐ'!C31+'3 - Giá Bán Đề Xuất'!$D$2)/(1-'3 - Giá Bán Đề Xuất'!$H$2),"")</f>
        <v>1142076.923076923</v>
      </c>
      <c r="D29" s="12">
        <f>IF(ISNUMBER('[1]2 - Quy đổi VNĐ'!D31),('[1]2 - Quy đổi VNĐ'!D31+'3 - Giá Bán Đề Xuất'!$D$2)/(1-'3 - Giá Bán Đề Xuất'!$H$2),"")</f>
        <v>1254000</v>
      </c>
      <c r="E29" s="12">
        <f>IF(ISNUMBER('[1]2 - Quy đổi VNĐ'!E31),('[1]2 - Quy đổi VNĐ'!E31+'3 - Giá Bán Đề Xuất'!$D$2)/(1-'3 - Giá Bán Đề Xuất'!$H$2),"")</f>
        <v>1328615.3846153845</v>
      </c>
      <c r="F29" s="12">
        <f>IF(ISNUMBER('[1]2 - Quy đổi VNĐ'!F31),('[1]2 - Quy đổi VNĐ'!F31+'3 - Giá Bán Đề Xuất'!$D$2)/(1-'3 - Giá Bán Đề Xuất'!$H$2),"")</f>
        <v>2089692.3076923075</v>
      </c>
      <c r="G29" s="12">
        <f>IF(ISNUMBER('[1]2 - Quy đổi VNĐ'!G31),('[1]2 - Quy đổi VNĐ'!G31+'3 - Giá Bán Đề Xuất'!$D$2)/(1-'3 - Giá Bán Đề Xuất'!$H$2),"")</f>
        <v>2380692.3076923075</v>
      </c>
      <c r="H29" s="6"/>
      <c r="I29" s="10"/>
      <c r="J29" s="11">
        <v>60</v>
      </c>
      <c r="K29" s="12">
        <f>IF(ISNUMBER('[1]2 - Quy đổi VNĐ'!K31),('[1]2 - Quy đổi VNĐ'!K31+'3 - Giá Bán Đề Xuất'!$D$2)/(1-'3 - Giá Bán Đề Xuất'!$H$2),"")</f>
        <v>1283846.1538461538</v>
      </c>
      <c r="L29" s="12">
        <f>IF(ISNUMBER('[1]2 - Quy đổi VNĐ'!L31),('[1]2 - Quy đổi VNĐ'!L31+'3 - Giá Bán Đề Xuất'!$D$2)/(1-'3 - Giá Bán Đề Xuất'!$H$2),"")</f>
        <v>1410692.3076923077</v>
      </c>
      <c r="M29" s="12">
        <f>IF(ISNUMBER('[1]2 - Quy đổi VNĐ'!M31),('[1]2 - Quy đổi VNĐ'!M31+'3 - Giá Bán Đề Xuất'!$D$2)/(1-'3 - Giá Bán Đề Xuất'!$H$2),"")</f>
        <v>1537538.4615384615</v>
      </c>
      <c r="N29" s="12">
        <f>IF(ISNUMBER('[1]2 - Quy đổi VNĐ'!N31),('[1]2 - Quy đổi VNĐ'!N31+'3 - Giá Bán Đề Xuất'!$D$2)/(1-'3 - Giá Bán Đề Xuất'!$H$2),"")</f>
        <v>2380692.3076923075</v>
      </c>
      <c r="O29" s="12">
        <f>IF(ISNUMBER('[1]2 - Quy đổi VNĐ'!O31),('[1]2 - Quy đổi VNĐ'!O31+'3 - Giá Bán Đề Xuất'!$D$2)/(1-'3 - Giá Bán Đề Xuất'!$H$2),"")</f>
        <v>2828384.6153846155</v>
      </c>
      <c r="P29" s="6"/>
      <c r="Q29" s="10"/>
      <c r="R29" s="11">
        <v>60</v>
      </c>
      <c r="S29" s="12" t="str">
        <f>IF(ISNUMBER('[1]2 - Quy đổi VNĐ'!S31),('[1]2 - Quy đổi VNĐ'!S31+'3 - Giá Bán Đề Xuất'!$D$2)/(1-'3 - Giá Bán Đề Xuất'!$H$2),"")</f>
        <v/>
      </c>
      <c r="T29" s="12" t="str">
        <f>IF(ISNUMBER('[1]2 - Quy đổi VNĐ'!T31),('[1]2 - Quy đổi VNĐ'!T31+'3 - Giá Bán Đề Xuất'!$D$2)/(1-'3 - Giá Bán Đề Xuất'!$H$2),"")</f>
        <v/>
      </c>
      <c r="U29" s="12" t="str">
        <f>IF(ISNUMBER('[1]2 - Quy đổi VNĐ'!U31),('[1]2 - Quy đổi VNĐ'!U31+'3 - Giá Bán Đề Xuất'!$D$2)/(1-'3 - Giá Bán Đề Xuất'!$H$2),"")</f>
        <v/>
      </c>
      <c r="V29" s="12" t="str">
        <f>IF(ISNUMBER('[1]2 - Quy đổi VNĐ'!V31),('[1]2 - Quy đổi VNĐ'!V31+'3 - Giá Bán Đề Xuất'!$D$2)/(1-'3 - Giá Bán Đề Xuất'!$H$2),"")</f>
        <v/>
      </c>
      <c r="W29" s="12" t="str">
        <f>IF(ISNUMBER('[1]2 - Quy đổi VNĐ'!W31),('[1]2 - Quy đổi VNĐ'!W31+'3 - Giá Bán Đề Xuất'!$D$2)/(1-'3 - Giá Bán Đề Xuất'!$H$2),"")</f>
        <v/>
      </c>
    </row>
    <row r="30" spans="1:23" ht="19.5" customHeight="1" x14ac:dyDescent="0.3">
      <c r="A30" s="13"/>
      <c r="B30" s="14">
        <v>70</v>
      </c>
      <c r="C30" s="12">
        <f>IF(ISNUMBER('[1]2 - Quy đổi VNĐ'!C32),('[1]2 - Quy đổi VNĐ'!C32+'3 - Giá Bán Đề Xuất'!$D$2)/(1-'3 - Giá Bán Đề Xuất'!$H$2),"")</f>
        <v>1224153.846153846</v>
      </c>
      <c r="D30" s="12">
        <f>IF(ISNUMBER('[1]2 - Quy đổi VNĐ'!D32),('[1]2 - Quy đổi VNĐ'!D32+'3 - Giá Bán Đề Xuất'!$D$2)/(1-'3 - Giá Bán Đề Xuất'!$H$2),"")</f>
        <v>1343538.4615384615</v>
      </c>
      <c r="E30" s="12">
        <f>IF(ISNUMBER('[1]2 - Quy đổi VNĐ'!E32),('[1]2 - Quy đổi VNĐ'!E32+'3 - Giá Bán Đề Xuất'!$D$2)/(1-'3 - Giá Bán Đề Xuất'!$H$2),"")</f>
        <v>1395769.2307692308</v>
      </c>
      <c r="F30" s="12">
        <f>IF(ISNUMBER('[1]2 - Quy đổi VNĐ'!F32),('[1]2 - Quy đổi VNĐ'!F32+'3 - Giá Bán Đề Xuất'!$D$2)/(1-'3 - Giá Bán Đề Xuất'!$H$2),"")</f>
        <v>2104615.3846153845</v>
      </c>
      <c r="G30" s="12">
        <f>IF(ISNUMBER('[1]2 - Quy đổi VNĐ'!G32),('[1]2 - Quy đổi VNĐ'!G32+'3 - Giá Bán Đề Xuất'!$D$2)/(1-'3 - Giá Bán Đề Xuất'!$H$2),"")</f>
        <v>2589615.3846153845</v>
      </c>
      <c r="H30" s="6"/>
      <c r="I30" s="13"/>
      <c r="J30" s="14">
        <v>70</v>
      </c>
      <c r="K30" s="12">
        <f>IF(ISNUMBER('[1]2 - Quy đổi VNĐ'!K32),('[1]2 - Quy đổi VNĐ'!K32+'3 - Giá Bán Đề Xuất'!$D$2)/(1-'3 - Giá Bán Đề Xuất'!$H$2),"")</f>
        <v>1373384.6153846153</v>
      </c>
      <c r="L30" s="12">
        <f>IF(ISNUMBER('[1]2 - Quy đổi VNĐ'!L32),('[1]2 - Quy đổi VNĐ'!L32+'3 - Giá Bán Đề Xuất'!$D$2)/(1-'3 - Giá Bán Đề Xuất'!$H$2),"")</f>
        <v>1507692.3076923077</v>
      </c>
      <c r="M30" s="12">
        <f>IF(ISNUMBER('[1]2 - Quy đổi VNĐ'!M32),('[1]2 - Quy đổi VNĐ'!M32+'3 - Giá Bán Đề Xuất'!$D$2)/(1-'3 - Giá Bán Đề Xuất'!$H$2),"")</f>
        <v>1597230.7692307692</v>
      </c>
      <c r="N30" s="12">
        <f>IF(ISNUMBER('[1]2 - Quy đổi VNĐ'!N32),('[1]2 - Quy đổi VNĐ'!N32+'3 - Giá Bán Đề Xuất'!$D$2)/(1-'3 - Giá Bán Đề Xuất'!$H$2),"")</f>
        <v>2418000</v>
      </c>
      <c r="O30" s="12">
        <f>IF(ISNUMBER('[1]2 - Quy đổi VNĐ'!O32),('[1]2 - Quy đổi VNĐ'!O32+'3 - Giá Bán Đề Xuất'!$D$2)/(1-'3 - Giá Bán Đề Xuất'!$H$2),"")</f>
        <v>2962692.3076923075</v>
      </c>
      <c r="P30" s="6"/>
      <c r="Q30" s="13"/>
      <c r="R30" s="14">
        <v>70</v>
      </c>
      <c r="S30" s="12" t="str">
        <f>IF(ISNUMBER('[1]2 - Quy đổi VNĐ'!S32),('[1]2 - Quy đổi VNĐ'!S32+'3 - Giá Bán Đề Xuất'!$D$2)/(1-'3 - Giá Bán Đề Xuất'!$H$2),"")</f>
        <v/>
      </c>
      <c r="T30" s="12" t="str">
        <f>IF(ISNUMBER('[1]2 - Quy đổi VNĐ'!T32),('[1]2 - Quy đổi VNĐ'!T32+'3 - Giá Bán Đề Xuất'!$D$2)/(1-'3 - Giá Bán Đề Xuất'!$H$2),"")</f>
        <v/>
      </c>
      <c r="U30" s="12" t="str">
        <f>IF(ISNUMBER('[1]2 - Quy đổi VNĐ'!U32),('[1]2 - Quy đổi VNĐ'!U32+'3 - Giá Bán Đề Xuất'!$D$2)/(1-'3 - Giá Bán Đề Xuất'!$H$2),"")</f>
        <v/>
      </c>
      <c r="V30" s="12" t="str">
        <f>IF(ISNUMBER('[1]2 - Quy đổi VNĐ'!V32),('[1]2 - Quy đổi VNĐ'!V32+'3 - Giá Bán Đề Xuất'!$D$2)/(1-'3 - Giá Bán Đề Xuất'!$H$2),"")</f>
        <v/>
      </c>
      <c r="W30" s="12" t="str">
        <f>IF(ISNUMBER('[1]2 - Quy đổi VNĐ'!W32),('[1]2 - Quy đổi VNĐ'!W32+'3 - Giá Bán Đề Xuất'!$D$2)/(1-'3 - Giá Bán Đề Xuất'!$H$2),"")</f>
        <v/>
      </c>
    </row>
    <row r="31" spans="1:23" ht="19.5" customHeight="1" x14ac:dyDescent="0.3">
      <c r="A31" s="10"/>
      <c r="B31" s="11">
        <v>80</v>
      </c>
      <c r="C31" s="12">
        <f>IF(ISNUMBER('[1]2 - Quy đổi VNĐ'!C33),('[1]2 - Quy đổi VNĐ'!C33+'3 - Giá Bán Đề Xuất'!$D$2)/(1-'3 - Giá Bán Đề Xuất'!$H$2),"")</f>
        <v>1604692.3076923077</v>
      </c>
      <c r="D31" s="12">
        <f>IF(ISNUMBER('[1]2 - Quy đổi VNĐ'!D33),('[1]2 - Quy đổi VNĐ'!D33+'3 - Giá Bán Đề Xuất'!$D$2)/(1-'3 - Giá Bán Đề Xuất'!$H$2),"")</f>
        <v>1761384.6153846153</v>
      </c>
      <c r="E31" s="12">
        <f>IF(ISNUMBER('[1]2 - Quy đổi VNĐ'!E33),('[1]2 - Quy đổi VNĐ'!E33+'3 - Giá Bán Đề Xuất'!$D$2)/(1-'3 - Giá Bán Đề Xuất'!$H$2),"")</f>
        <v>1843461.5384615385</v>
      </c>
      <c r="F31" s="12">
        <f>IF(ISNUMBER('[1]2 - Quy đổi VNĐ'!F33),('[1]2 - Quy đổi VNĐ'!F33+'3 - Giá Bán Đề Xuất'!$D$2)/(1-'3 - Giá Bán Đề Xuất'!$H$2),"")</f>
        <v>2492615.3846153845</v>
      </c>
      <c r="G31" s="12">
        <f>IF(ISNUMBER('[1]2 - Quy đổi VNĐ'!G33),('[1]2 - Quy đổi VNĐ'!G33+'3 - Giá Bán Đề Xuất'!$D$2)/(1-'3 - Giá Bán Đề Xuất'!$H$2),"")</f>
        <v>3014923.076923077</v>
      </c>
      <c r="H31" s="6"/>
      <c r="I31" s="10"/>
      <c r="J31" s="11">
        <v>80</v>
      </c>
      <c r="K31" s="12">
        <f>IF(ISNUMBER('[1]2 - Quy đổi VNĐ'!K33),('[1]2 - Quy đổi VNĐ'!K33+'3 - Giá Bán Đề Xuất'!$D$2)/(1-'3 - Giá Bán Đề Xuất'!$H$2),"")</f>
        <v>1821076.923076923</v>
      </c>
      <c r="L31" s="12">
        <f>IF(ISNUMBER('[1]2 - Quy đổi VNĐ'!L33),('[1]2 - Quy đổi VNĐ'!L33+'3 - Giá Bán Đề Xuất'!$D$2)/(1-'3 - Giá Bán Đề Xuất'!$H$2),"")</f>
        <v>2000153.846153846</v>
      </c>
      <c r="M31" s="12">
        <f>IF(ISNUMBER('[1]2 - Quy đổi VNĐ'!M33),('[1]2 - Quy đổi VNĐ'!M33+'3 - Giá Bán Đề Xuất'!$D$2)/(1-'3 - Giá Bán Đề Xuất'!$H$2),"")</f>
        <v>2149384.6153846155</v>
      </c>
      <c r="N31" s="12">
        <f>IF(ISNUMBER('[1]2 - Quy đổi VNĐ'!N33),('[1]2 - Quy đổi VNĐ'!N33+'3 - Giá Bán Đề Xuất'!$D$2)/(1-'3 - Giá Bán Đề Xuất'!$H$2),"")</f>
        <v>2865692.3076923075</v>
      </c>
      <c r="O31" s="12">
        <f>IF(ISNUMBER('[1]2 - Quy đổi VNĐ'!O33),('[1]2 - Quy đổi VNĐ'!O33+'3 - Giá Bán Đề Xuất'!$D$2)/(1-'3 - Giá Bán Đề Xuất'!$H$2),"")</f>
        <v>3380538.4615384615</v>
      </c>
      <c r="P31" s="6"/>
      <c r="Q31" s="10"/>
      <c r="R31" s="11">
        <v>80</v>
      </c>
      <c r="S31" s="12" t="str">
        <f>IF(ISNUMBER('[1]2 - Quy đổi VNĐ'!S33),('[1]2 - Quy đổi VNĐ'!S33+'3 - Giá Bán Đề Xuất'!$D$2)/(1-'3 - Giá Bán Đề Xuất'!$H$2),"")</f>
        <v/>
      </c>
      <c r="T31" s="12" t="str">
        <f>IF(ISNUMBER('[1]2 - Quy đổi VNĐ'!T33),('[1]2 - Quy đổi VNĐ'!T33+'3 - Giá Bán Đề Xuất'!$D$2)/(1-'3 - Giá Bán Đề Xuất'!$H$2),"")</f>
        <v/>
      </c>
      <c r="U31" s="12" t="str">
        <f>IF(ISNUMBER('[1]2 - Quy đổi VNĐ'!U33),('[1]2 - Quy đổi VNĐ'!U33+'3 - Giá Bán Đề Xuất'!$D$2)/(1-'3 - Giá Bán Đề Xuất'!$H$2),"")</f>
        <v/>
      </c>
      <c r="V31" s="12" t="str">
        <f>IF(ISNUMBER('[1]2 - Quy đổi VNĐ'!V33),('[1]2 - Quy đổi VNĐ'!V33+'3 - Giá Bán Đề Xuất'!$D$2)/(1-'3 - Giá Bán Đề Xuất'!$H$2),"")</f>
        <v/>
      </c>
      <c r="W31" s="12" t="str">
        <f>IF(ISNUMBER('[1]2 - Quy đổi VNĐ'!W33),('[1]2 - Quy đổi VNĐ'!W33+'3 - Giá Bán Đề Xuất'!$D$2)/(1-'3 - Giá Bán Đề Xuất'!$H$2),"")</f>
        <v/>
      </c>
    </row>
    <row r="32" spans="1:23" ht="19.5" customHeight="1" x14ac:dyDescent="0.3">
      <c r="A32" s="13"/>
      <c r="B32" s="14">
        <v>90</v>
      </c>
      <c r="C32" s="12">
        <f>IF(ISNUMBER('[1]2 - Quy đổi VNĐ'!C34),('[1]2 - Quy đổi VNĐ'!C34+'3 - Giá Bán Đề Xuất'!$D$2)/(1-'3 - Giá Bán Đề Xuất'!$H$2),"")</f>
        <v>1664384.6153846153</v>
      </c>
      <c r="D32" s="12">
        <f>IF(ISNUMBER('[1]2 - Quy đổi VNĐ'!D34),('[1]2 - Quy đổi VNĐ'!D34+'3 - Giá Bán Đề Xuất'!$D$2)/(1-'3 - Giá Bán Đề Xuất'!$H$2),"")</f>
        <v>1828538.4615384615</v>
      </c>
      <c r="E32" s="12">
        <f>IF(ISNUMBER('[1]2 - Quy đổi VNĐ'!E34),('[1]2 - Quy đổi VNĐ'!E34+'3 - Giá Bán Đề Xuất'!$D$2)/(1-'3 - Giá Bán Đề Xuất'!$H$2),"")</f>
        <v>1880769.2307692308</v>
      </c>
      <c r="F32" s="12">
        <f>IF(ISNUMBER('[1]2 - Quy đổi VNĐ'!F34),('[1]2 - Quy đổi VNĐ'!F34+'3 - Giá Bán Đề Xuất'!$D$2)/(1-'3 - Giá Bán Đề Xuất'!$H$2),"")</f>
        <v>2522461.5384615385</v>
      </c>
      <c r="G32" s="12">
        <f>IF(ISNUMBER('[1]2 - Quy đổi VNĐ'!G34),('[1]2 - Quy đổi VNĐ'!G34+'3 - Giá Bán Đề Xuất'!$D$2)/(1-'3 - Giá Bán Đề Xuất'!$H$2),"")</f>
        <v>3283538.4615384615</v>
      </c>
      <c r="H32" s="6"/>
      <c r="I32" s="13"/>
      <c r="J32" s="14">
        <v>90</v>
      </c>
      <c r="K32" s="12">
        <f>IF(ISNUMBER('[1]2 - Quy đổi VNĐ'!K34),('[1]2 - Quy đổi VNĐ'!K34+'3 - Giá Bán Đề Xuất'!$D$2)/(1-'3 - Giá Bán Đề Xuất'!$H$2),"")</f>
        <v>1910615.3846153845</v>
      </c>
      <c r="L32" s="12">
        <f>IF(ISNUMBER('[1]2 - Quy đổi VNĐ'!L34),('[1]2 - Quy đổi VNĐ'!L34+'3 - Giá Bán Đề Xuất'!$D$2)/(1-'3 - Giá Bán Đề Xuất'!$H$2),"")</f>
        <v>2097153.846153846</v>
      </c>
      <c r="M32" s="12">
        <f>IF(ISNUMBER('[1]2 - Quy đổi VNĐ'!M34),('[1]2 - Quy đổi VNĐ'!M34+'3 - Giá Bán Đề Xuất'!$D$2)/(1-'3 - Giá Bán Đề Xuất'!$H$2),"")</f>
        <v>2201615.3846153845</v>
      </c>
      <c r="N32" s="12">
        <f>IF(ISNUMBER('[1]2 - Quy đổi VNĐ'!N34),('[1]2 - Quy đổi VNĐ'!N34+'3 - Giá Bán Đề Xuất'!$D$2)/(1-'3 - Giá Bán Đề Xuất'!$H$2),"")</f>
        <v>2895538.4615384615</v>
      </c>
      <c r="O32" s="12">
        <f>IF(ISNUMBER('[1]2 - Quy đổi VNĐ'!O34),('[1]2 - Quy đổi VNĐ'!O34+'3 - Giá Bán Đề Xuất'!$D$2)/(1-'3 - Giá Bán Đề Xuất'!$H$2),"")</f>
        <v>3693923.076923077</v>
      </c>
      <c r="P32" s="6"/>
      <c r="Q32" s="13"/>
      <c r="R32" s="14">
        <v>90</v>
      </c>
      <c r="S32" s="12" t="str">
        <f>IF(ISNUMBER('[1]2 - Quy đổi VNĐ'!S34),('[1]2 - Quy đổi VNĐ'!S34+'3 - Giá Bán Đề Xuất'!$D$2)/(1-'3 - Giá Bán Đề Xuất'!$H$2),"")</f>
        <v/>
      </c>
      <c r="T32" s="12" t="str">
        <f>IF(ISNUMBER('[1]2 - Quy đổi VNĐ'!T34),('[1]2 - Quy đổi VNĐ'!T34+'3 - Giá Bán Đề Xuất'!$D$2)/(1-'3 - Giá Bán Đề Xuất'!$H$2),"")</f>
        <v/>
      </c>
      <c r="U32" s="12" t="str">
        <f>IF(ISNUMBER('[1]2 - Quy đổi VNĐ'!U34),('[1]2 - Quy đổi VNĐ'!U34+'3 - Giá Bán Đề Xuất'!$D$2)/(1-'3 - Giá Bán Đề Xuất'!$H$2),"")</f>
        <v/>
      </c>
      <c r="V32" s="12" t="str">
        <f>IF(ISNUMBER('[1]2 - Quy đổi VNĐ'!V34),('[1]2 - Quy đổi VNĐ'!V34+'3 - Giá Bán Đề Xuất'!$D$2)/(1-'3 - Giá Bán Đề Xuất'!$H$2),"")</f>
        <v/>
      </c>
      <c r="W32" s="12" t="str">
        <f>IF(ISNUMBER('[1]2 - Quy đổi VNĐ'!W34),('[1]2 - Quy đổi VNĐ'!W34+'3 - Giá Bán Đề Xuất'!$D$2)/(1-'3 - Giá Bán Đề Xuất'!$H$2),"")</f>
        <v/>
      </c>
    </row>
    <row r="33" spans="1:23" ht="19.5" customHeight="1" x14ac:dyDescent="0.3">
      <c r="A33" s="10"/>
      <c r="B33" s="11">
        <v>100</v>
      </c>
      <c r="C33" s="12" t="str">
        <f>IF(ISNUMBER('[1]2 - Quy đổi VNĐ'!C35),('[1]2 - Quy đổi VNĐ'!C35+'3 - Giá Bán Đề Xuất'!$D$2)/(1-'3 - Giá Bán Đề Xuất'!$H$2),"")</f>
        <v/>
      </c>
      <c r="D33" s="12" t="str">
        <f>IF(ISNUMBER('[1]2 - Quy đổi VNĐ'!D35),('[1]2 - Quy đổi VNĐ'!D35+'3 - Giá Bán Đề Xuất'!$D$2)/(1-'3 - Giá Bán Đề Xuất'!$H$2),"")</f>
        <v/>
      </c>
      <c r="E33" s="12" t="str">
        <f>IF(ISNUMBER('[1]2 - Quy đổi VNĐ'!E35),('[1]2 - Quy đổi VNĐ'!E35+'3 - Giá Bán Đề Xuất'!$D$2)/(1-'3 - Giá Bán Đề Xuất'!$H$2),"")</f>
        <v/>
      </c>
      <c r="F33" s="12" t="str">
        <f>IF(ISNUMBER('[1]2 - Quy đổi VNĐ'!F35),('[1]2 - Quy đổi VNĐ'!F35+'3 - Giá Bán Đề Xuất'!$D$2)/(1-'3 - Giá Bán Đề Xuất'!$H$2),"")</f>
        <v/>
      </c>
      <c r="G33" s="12" t="str">
        <f>IF(ISNUMBER('[1]2 - Quy đổi VNĐ'!G35),('[1]2 - Quy đổi VNĐ'!G35+'3 - Giá Bán Đề Xuất'!$D$2)/(1-'3 - Giá Bán Đề Xuất'!$H$2),"")</f>
        <v/>
      </c>
      <c r="H33" s="6"/>
      <c r="I33" s="10"/>
      <c r="J33" s="11">
        <v>100</v>
      </c>
      <c r="K33" s="12" t="str">
        <f>IF(ISNUMBER('[1]2 - Quy đổi VNĐ'!K35),('[1]2 - Quy đổi VNĐ'!K35+'3 - Giá Bán Đề Xuất'!$D$2)/(1-'3 - Giá Bán Đề Xuất'!$H$2),"")</f>
        <v/>
      </c>
      <c r="L33" s="12" t="str">
        <f>IF(ISNUMBER('[1]2 - Quy đổi VNĐ'!L35),('[1]2 - Quy đổi VNĐ'!L35+'3 - Giá Bán Đề Xuất'!$D$2)/(1-'3 - Giá Bán Đề Xuất'!$H$2),"")</f>
        <v/>
      </c>
      <c r="M33" s="12" t="str">
        <f>IF(ISNUMBER('[1]2 - Quy đổi VNĐ'!M35),('[1]2 - Quy đổi VNĐ'!M35+'3 - Giá Bán Đề Xuất'!$D$2)/(1-'3 - Giá Bán Đề Xuất'!$H$2),"")</f>
        <v/>
      </c>
      <c r="N33" s="12" t="str">
        <f>IF(ISNUMBER('[1]2 - Quy đổi VNĐ'!N35),('[1]2 - Quy đổi VNĐ'!N35+'3 - Giá Bán Đề Xuất'!$D$2)/(1-'3 - Giá Bán Đề Xuất'!$H$2),"")</f>
        <v/>
      </c>
      <c r="O33" s="12" t="str">
        <f>IF(ISNUMBER('[1]2 - Quy đổi VNĐ'!O35),('[1]2 - Quy đổi VNĐ'!O35+'3 - Giá Bán Đề Xuất'!$D$2)/(1-'3 - Giá Bán Đề Xuất'!$H$2),"")</f>
        <v/>
      </c>
      <c r="P33" s="6"/>
      <c r="Q33" s="10"/>
      <c r="R33" s="11">
        <v>100</v>
      </c>
      <c r="S33" s="12" t="str">
        <f>IF(ISNUMBER('[1]2 - Quy đổi VNĐ'!S35),('[1]2 - Quy đổi VNĐ'!S35+'3 - Giá Bán Đề Xuất'!$D$2)/(1-'3 - Giá Bán Đề Xuất'!$H$2),"")</f>
        <v/>
      </c>
      <c r="T33" s="12" t="str">
        <f>IF(ISNUMBER('[1]2 - Quy đổi VNĐ'!T35),('[1]2 - Quy đổi VNĐ'!T35+'3 - Giá Bán Đề Xuất'!$D$2)/(1-'3 - Giá Bán Đề Xuất'!$H$2),"")</f>
        <v/>
      </c>
      <c r="U33" s="12" t="str">
        <f>IF(ISNUMBER('[1]2 - Quy đổi VNĐ'!U35),('[1]2 - Quy đổi VNĐ'!U35+'3 - Giá Bán Đề Xuất'!$D$2)/(1-'3 - Giá Bán Đề Xuất'!$H$2),"")</f>
        <v/>
      </c>
      <c r="V33" s="12" t="str">
        <f>IF(ISNUMBER('[1]2 - Quy đổi VNĐ'!V35),('[1]2 - Quy đổi VNĐ'!V35+'3 - Giá Bán Đề Xuất'!$D$2)/(1-'3 - Giá Bán Đề Xuất'!$H$2),"")</f>
        <v/>
      </c>
      <c r="W33" s="12" t="str">
        <f>IF(ISNUMBER('[1]2 - Quy đổi VNĐ'!W35),('[1]2 - Quy đổi VNĐ'!W35+'3 - Giá Bán Đề Xuất'!$D$2)/(1-'3 - Giá Bán Đề Xuất'!$H$2),"")</f>
        <v/>
      </c>
    </row>
    <row r="34" spans="1:23" ht="4.5" customHeight="1" x14ac:dyDescent="0.3">
      <c r="A34" s="15"/>
      <c r="B34" s="15"/>
      <c r="C34" s="15"/>
      <c r="D34" s="15"/>
      <c r="E34" s="15"/>
      <c r="F34" s="15"/>
      <c r="G34" s="1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21.75" customHeight="1" x14ac:dyDescent="0.3">
      <c r="A35" s="16"/>
      <c r="B35" s="16"/>
      <c r="C35" s="16"/>
      <c r="D35" s="16"/>
      <c r="E35" s="16"/>
      <c r="F35" s="16"/>
      <c r="G35" s="16"/>
      <c r="H35" s="6"/>
      <c r="P35" s="6"/>
    </row>
    <row r="36" spans="1:23" ht="21.75" customHeight="1" x14ac:dyDescent="0.3">
      <c r="A36" s="16"/>
      <c r="B36" s="16"/>
      <c r="C36" s="16"/>
      <c r="D36" s="16"/>
      <c r="E36" s="16"/>
      <c r="F36" s="16"/>
      <c r="G36" s="16"/>
    </row>
    <row r="37" spans="1:23" ht="21.75" customHeight="1" x14ac:dyDescent="0.3">
      <c r="A37" s="16"/>
      <c r="B37" s="16"/>
      <c r="C37" s="16"/>
      <c r="D37" s="16"/>
      <c r="E37" s="16"/>
      <c r="F37" s="16"/>
      <c r="G37" s="16"/>
    </row>
    <row r="38" spans="1:23" ht="21.75" customHeight="1" x14ac:dyDescent="0.3">
      <c r="A38" s="16"/>
      <c r="B38" s="16"/>
      <c r="C38" s="16"/>
      <c r="D38" s="16"/>
      <c r="E38" s="16"/>
      <c r="F38" s="16"/>
      <c r="G38" s="16"/>
    </row>
    <row r="39" spans="1:23" ht="21.75" customHeight="1" x14ac:dyDescent="0.3">
      <c r="A39" s="16"/>
      <c r="B39" s="16"/>
      <c r="C39" s="16"/>
      <c r="D39" s="16"/>
      <c r="E39" s="16"/>
      <c r="F39" s="16"/>
      <c r="G39" s="16"/>
    </row>
    <row r="40" spans="1:23" ht="21.75" customHeight="1" x14ac:dyDescent="0.3">
      <c r="A40" s="16"/>
      <c r="B40" s="16"/>
      <c r="C40" s="16"/>
      <c r="D40" s="16"/>
      <c r="E40" s="16"/>
      <c r="F40" s="16"/>
      <c r="G40" s="16"/>
    </row>
    <row r="41" spans="1:23" ht="21.75" customHeight="1" x14ac:dyDescent="0.3">
      <c r="A41" s="16"/>
      <c r="B41" s="16"/>
      <c r="C41" s="16"/>
      <c r="D41" s="16"/>
      <c r="E41" s="16"/>
      <c r="F41" s="16"/>
      <c r="G41" s="16"/>
    </row>
    <row r="42" spans="1:23" ht="6" customHeight="1" x14ac:dyDescent="0.3">
      <c r="A42" s="16"/>
      <c r="B42" s="16"/>
      <c r="C42" s="16"/>
      <c r="D42" s="16"/>
      <c r="E42" s="16"/>
      <c r="F42" s="16"/>
      <c r="G42" s="16"/>
    </row>
    <row r="43" spans="1:23" ht="24" customHeight="1" x14ac:dyDescent="0.3">
      <c r="A43" s="16"/>
      <c r="B43" s="16"/>
      <c r="C43" s="16"/>
      <c r="D43" s="16"/>
      <c r="E43" s="16"/>
      <c r="F43" s="16"/>
      <c r="G43" s="16"/>
    </row>
    <row r="44" spans="1:23" ht="21.75" customHeight="1" x14ac:dyDescent="0.3">
      <c r="A44" s="16"/>
      <c r="B44" s="16"/>
      <c r="C44" s="16"/>
      <c r="D44" s="16"/>
      <c r="E44" s="16"/>
      <c r="F44" s="16"/>
      <c r="G44" s="16"/>
    </row>
    <row r="45" spans="1:23" ht="21.75" customHeight="1" x14ac:dyDescent="0.3">
      <c r="A45" s="16"/>
      <c r="B45" s="16"/>
      <c r="C45" s="16"/>
      <c r="D45" s="16"/>
      <c r="E45" s="16"/>
      <c r="F45" s="16"/>
      <c r="G45" s="16"/>
    </row>
    <row r="46" spans="1:23" ht="21.75" customHeight="1" x14ac:dyDescent="0.3">
      <c r="A46" s="16"/>
      <c r="B46" s="16"/>
      <c r="C46" s="16"/>
      <c r="D46" s="16"/>
      <c r="E46" s="16"/>
      <c r="F46" s="16"/>
      <c r="G46" s="16"/>
    </row>
    <row r="47" spans="1:23" ht="21.75" customHeight="1" x14ac:dyDescent="0.3">
      <c r="A47" s="16"/>
      <c r="B47" s="16"/>
      <c r="C47" s="16"/>
      <c r="D47" s="16"/>
      <c r="E47" s="16"/>
      <c r="F47" s="16"/>
      <c r="G47" s="16"/>
    </row>
    <row r="48" spans="1:23" ht="21.75" customHeight="1" x14ac:dyDescent="0.3">
      <c r="A48" s="16"/>
      <c r="B48" s="16"/>
      <c r="C48" s="16"/>
      <c r="D48" s="16"/>
      <c r="E48" s="16"/>
      <c r="F48" s="16"/>
      <c r="G48" s="16"/>
    </row>
    <row r="49" spans="1:7" ht="21.75" customHeight="1" x14ac:dyDescent="0.3">
      <c r="A49" s="16"/>
      <c r="B49" s="16"/>
      <c r="C49" s="16"/>
      <c r="D49" s="16"/>
      <c r="E49" s="16"/>
      <c r="F49" s="16"/>
      <c r="G49" s="16"/>
    </row>
    <row r="50" spans="1:7" ht="21.75" customHeight="1" x14ac:dyDescent="0.3">
      <c r="A50" s="16"/>
      <c r="B50" s="16"/>
      <c r="C50" s="16"/>
      <c r="D50" s="16"/>
      <c r="E50" s="16"/>
      <c r="F50" s="16"/>
      <c r="G50" s="16"/>
    </row>
    <row r="51" spans="1:7" ht="21.75" customHeight="1" x14ac:dyDescent="0.3">
      <c r="A51" s="16"/>
      <c r="B51" s="16"/>
      <c r="C51" s="16"/>
      <c r="D51" s="16"/>
      <c r="E51" s="16"/>
      <c r="F51" s="16"/>
      <c r="G51" s="16"/>
    </row>
    <row r="52" spans="1:7" ht="6" customHeight="1" x14ac:dyDescent="0.3">
      <c r="A52" s="16"/>
      <c r="B52" s="16"/>
      <c r="C52" s="16"/>
      <c r="D52" s="16"/>
      <c r="E52" s="16"/>
      <c r="F52" s="16"/>
      <c r="G52" s="16"/>
    </row>
    <row r="53" spans="1:7" ht="24" customHeight="1" x14ac:dyDescent="0.3">
      <c r="A53" s="16"/>
      <c r="B53" s="16"/>
      <c r="C53" s="16"/>
      <c r="D53" s="16"/>
      <c r="E53" s="16"/>
      <c r="F53" s="16"/>
      <c r="G53" s="16"/>
    </row>
    <row r="54" spans="1:7" ht="21.75" customHeight="1" x14ac:dyDescent="0.3">
      <c r="A54" s="16"/>
      <c r="B54" s="16"/>
      <c r="C54" s="16"/>
      <c r="D54" s="16"/>
      <c r="E54" s="16"/>
      <c r="F54" s="16"/>
      <c r="G54" s="16"/>
    </row>
    <row r="55" spans="1:7" ht="21.75" customHeight="1" x14ac:dyDescent="0.3">
      <c r="A55" s="16"/>
      <c r="B55" s="16"/>
      <c r="C55" s="16"/>
      <c r="D55" s="16"/>
      <c r="E55" s="16"/>
      <c r="F55" s="16"/>
      <c r="G55" s="16"/>
    </row>
    <row r="56" spans="1:7" ht="21.75" customHeight="1" x14ac:dyDescent="0.3">
      <c r="A56" s="16"/>
      <c r="B56" s="16"/>
      <c r="C56" s="16"/>
      <c r="D56" s="16"/>
      <c r="E56" s="16"/>
      <c r="F56" s="16"/>
      <c r="G56" s="16"/>
    </row>
    <row r="57" spans="1:7" ht="21.75" customHeight="1" x14ac:dyDescent="0.3">
      <c r="A57" s="16"/>
      <c r="B57" s="16"/>
      <c r="C57" s="16"/>
      <c r="D57" s="16"/>
      <c r="E57" s="16"/>
      <c r="F57" s="16"/>
      <c r="G57" s="16"/>
    </row>
    <row r="58" spans="1:7" ht="21.75" customHeight="1" x14ac:dyDescent="0.3">
      <c r="A58" s="16"/>
      <c r="B58" s="16"/>
      <c r="C58" s="16"/>
      <c r="D58" s="16"/>
      <c r="E58" s="16"/>
      <c r="F58" s="16"/>
      <c r="G58" s="16"/>
    </row>
    <row r="59" spans="1:7" ht="21.75" customHeight="1" x14ac:dyDescent="0.3">
      <c r="A59" s="16"/>
      <c r="B59" s="16"/>
      <c r="C59" s="16"/>
      <c r="D59" s="16"/>
      <c r="E59" s="16"/>
      <c r="F59" s="16"/>
      <c r="G59" s="16"/>
    </row>
    <row r="60" spans="1:7" ht="21.75" customHeight="1" x14ac:dyDescent="0.3">
      <c r="A60" s="16"/>
      <c r="B60" s="16"/>
      <c r="C60" s="16"/>
      <c r="D60" s="16"/>
      <c r="E60" s="16"/>
      <c r="F60" s="16"/>
      <c r="G60" s="16"/>
    </row>
    <row r="61" spans="1:7" ht="21.75" customHeight="1" x14ac:dyDescent="0.3">
      <c r="A61" s="16"/>
      <c r="B61" s="16"/>
      <c r="C61" s="16"/>
      <c r="D61" s="16"/>
      <c r="E61" s="16"/>
      <c r="F61" s="16"/>
      <c r="G61" s="16"/>
    </row>
    <row r="62" spans="1:7" ht="6" customHeight="1" x14ac:dyDescent="0.3">
      <c r="A62" s="16"/>
      <c r="B62" s="16"/>
      <c r="C62" s="16"/>
      <c r="D62" s="16"/>
      <c r="E62" s="16"/>
      <c r="F62" s="16"/>
      <c r="G62" s="16"/>
    </row>
    <row r="63" spans="1:7" ht="24" customHeight="1" x14ac:dyDescent="0.3">
      <c r="A63" s="16"/>
      <c r="B63" s="16"/>
      <c r="C63" s="16"/>
      <c r="D63" s="16"/>
      <c r="E63" s="16"/>
      <c r="F63" s="16"/>
      <c r="G63" s="16"/>
    </row>
    <row r="64" spans="1:7" ht="21.75" customHeight="1" x14ac:dyDescent="0.3">
      <c r="A64" s="16"/>
      <c r="B64" s="16"/>
      <c r="C64" s="16"/>
      <c r="D64" s="16"/>
      <c r="E64" s="16"/>
      <c r="F64" s="16"/>
      <c r="G64" s="16"/>
    </row>
    <row r="65" spans="1:7" ht="21.75" customHeight="1" x14ac:dyDescent="0.3">
      <c r="A65" s="16"/>
      <c r="B65" s="16"/>
      <c r="C65" s="16"/>
      <c r="D65" s="16"/>
      <c r="E65" s="16"/>
      <c r="F65" s="16"/>
      <c r="G65" s="16"/>
    </row>
    <row r="66" spans="1:7" ht="21.75" customHeight="1" x14ac:dyDescent="0.3">
      <c r="A66" s="16"/>
      <c r="B66" s="16"/>
      <c r="C66" s="16"/>
      <c r="D66" s="16"/>
      <c r="E66" s="16"/>
      <c r="F66" s="16"/>
      <c r="G66" s="16"/>
    </row>
    <row r="67" spans="1:7" ht="21.75" customHeight="1" x14ac:dyDescent="0.3">
      <c r="A67" s="16"/>
      <c r="B67" s="16"/>
      <c r="C67" s="16"/>
      <c r="D67" s="16"/>
      <c r="E67" s="16"/>
      <c r="F67" s="16"/>
      <c r="G67" s="16"/>
    </row>
    <row r="68" spans="1:7" ht="21.75" customHeight="1" x14ac:dyDescent="0.3">
      <c r="A68" s="16"/>
      <c r="B68" s="16"/>
      <c r="C68" s="16"/>
      <c r="D68" s="16"/>
      <c r="E68" s="16"/>
      <c r="F68" s="16"/>
      <c r="G68" s="16"/>
    </row>
    <row r="69" spans="1:7" ht="21.75" customHeight="1" x14ac:dyDescent="0.3">
      <c r="A69" s="16"/>
      <c r="B69" s="16"/>
      <c r="C69" s="16"/>
      <c r="D69" s="16"/>
      <c r="E69" s="16"/>
      <c r="F69" s="16"/>
      <c r="G69" s="16"/>
    </row>
    <row r="70" spans="1:7" ht="21.75" customHeight="1" x14ac:dyDescent="0.3">
      <c r="A70" s="16"/>
      <c r="B70" s="16"/>
      <c r="C70" s="16"/>
      <c r="D70" s="16"/>
      <c r="E70" s="16"/>
      <c r="F70" s="16"/>
      <c r="G70" s="16"/>
    </row>
    <row r="71" spans="1:7" ht="21.75" customHeight="1" x14ac:dyDescent="0.3">
      <c r="A71" s="16"/>
      <c r="B71" s="16"/>
      <c r="C71" s="16"/>
      <c r="D71" s="16"/>
      <c r="E71" s="16"/>
      <c r="F71" s="16"/>
      <c r="G71" s="16"/>
    </row>
    <row r="72" spans="1:7" ht="6" customHeight="1" x14ac:dyDescent="0.3">
      <c r="A72" s="16"/>
      <c r="B72" s="16"/>
      <c r="C72" s="16"/>
      <c r="D72" s="16"/>
      <c r="E72" s="16"/>
      <c r="F72" s="16"/>
      <c r="G72" s="16"/>
    </row>
    <row r="73" spans="1:7" ht="24" customHeight="1" x14ac:dyDescent="0.3">
      <c r="A73" s="16"/>
      <c r="B73" s="16"/>
      <c r="C73" s="16"/>
      <c r="D73" s="16"/>
      <c r="E73" s="16"/>
      <c r="F73" s="16"/>
      <c r="G73" s="16"/>
    </row>
    <row r="74" spans="1:7" ht="21.75" customHeight="1" x14ac:dyDescent="0.3">
      <c r="A74" s="16"/>
      <c r="B74" s="16"/>
      <c r="C74" s="16"/>
      <c r="D74" s="16"/>
      <c r="E74" s="16"/>
      <c r="F74" s="16"/>
      <c r="G74" s="16"/>
    </row>
    <row r="75" spans="1:7" ht="21.75" customHeight="1" x14ac:dyDescent="0.3">
      <c r="A75" s="16"/>
      <c r="B75" s="16"/>
      <c r="C75" s="16"/>
      <c r="D75" s="16"/>
      <c r="E75" s="16"/>
      <c r="F75" s="16"/>
      <c r="G75" s="16"/>
    </row>
    <row r="76" spans="1:7" ht="21.75" customHeight="1" x14ac:dyDescent="0.3">
      <c r="A76" s="16"/>
      <c r="B76" s="16"/>
      <c r="C76" s="16"/>
      <c r="D76" s="16"/>
      <c r="E76" s="16"/>
      <c r="F76" s="16"/>
      <c r="G76" s="16"/>
    </row>
    <row r="77" spans="1:7" ht="21.75" customHeight="1" x14ac:dyDescent="0.3">
      <c r="A77" s="16"/>
      <c r="B77" s="16"/>
      <c r="C77" s="16"/>
      <c r="D77" s="16"/>
      <c r="E77" s="16"/>
      <c r="F77" s="16"/>
      <c r="G77" s="16"/>
    </row>
    <row r="78" spans="1:7" ht="21.75" customHeight="1" x14ac:dyDescent="0.3">
      <c r="A78" s="16"/>
      <c r="B78" s="16"/>
      <c r="C78" s="16"/>
      <c r="D78" s="16"/>
      <c r="E78" s="16"/>
      <c r="F78" s="16"/>
      <c r="G78" s="16"/>
    </row>
    <row r="79" spans="1:7" ht="21.75" customHeight="1" x14ac:dyDescent="0.3">
      <c r="A79" s="16"/>
      <c r="B79" s="16"/>
      <c r="C79" s="16"/>
      <c r="D79" s="16"/>
      <c r="E79" s="16"/>
      <c r="F79" s="16"/>
      <c r="G79" s="16"/>
    </row>
    <row r="80" spans="1:7" ht="21.75" customHeight="1" x14ac:dyDescent="0.3">
      <c r="A80" s="16"/>
      <c r="B80" s="16"/>
      <c r="C80" s="16"/>
      <c r="D80" s="16"/>
      <c r="E80" s="16"/>
      <c r="F80" s="16"/>
      <c r="G80" s="16"/>
    </row>
    <row r="81" spans="1:7" ht="21.75" customHeight="1" x14ac:dyDescent="0.3">
      <c r="A81" s="16"/>
      <c r="B81" s="16"/>
      <c r="C81" s="16"/>
      <c r="D81" s="16"/>
      <c r="E81" s="16"/>
      <c r="F81" s="16"/>
      <c r="G81" s="16"/>
    </row>
    <row r="82" spans="1:7" ht="6" customHeight="1" x14ac:dyDescent="0.3">
      <c r="A82" s="16"/>
      <c r="B82" s="16"/>
      <c r="C82" s="16"/>
      <c r="D82" s="16"/>
      <c r="E82" s="16"/>
      <c r="F82" s="16"/>
      <c r="G82" s="16"/>
    </row>
    <row r="83" spans="1:7" ht="24" customHeight="1" x14ac:dyDescent="0.3">
      <c r="A83" s="16"/>
      <c r="B83" s="16"/>
      <c r="C83" s="16"/>
      <c r="D83" s="16"/>
      <c r="E83" s="16"/>
      <c r="F83" s="16"/>
      <c r="G83" s="16"/>
    </row>
    <row r="84" spans="1:7" ht="21.75" customHeight="1" x14ac:dyDescent="0.3">
      <c r="A84" s="16"/>
      <c r="B84" s="16"/>
      <c r="C84" s="16"/>
      <c r="D84" s="16"/>
      <c r="E84" s="16"/>
      <c r="F84" s="16"/>
      <c r="G84" s="16"/>
    </row>
    <row r="85" spans="1:7" ht="21.75" customHeight="1" x14ac:dyDescent="0.3">
      <c r="A85" s="16"/>
      <c r="B85" s="16"/>
      <c r="C85" s="16"/>
      <c r="D85" s="16"/>
      <c r="E85" s="16"/>
      <c r="F85" s="16"/>
      <c r="G85" s="16"/>
    </row>
    <row r="86" spans="1:7" ht="21.75" customHeight="1" x14ac:dyDescent="0.3">
      <c r="A86" s="16"/>
      <c r="B86" s="16"/>
      <c r="C86" s="16"/>
      <c r="D86" s="16"/>
      <c r="E86" s="16"/>
      <c r="F86" s="16"/>
      <c r="G86" s="16"/>
    </row>
    <row r="87" spans="1:7" ht="21.75" customHeight="1" x14ac:dyDescent="0.3">
      <c r="A87" s="16"/>
      <c r="B87" s="16"/>
      <c r="C87" s="16"/>
      <c r="D87" s="16"/>
      <c r="E87" s="16"/>
      <c r="F87" s="16"/>
      <c r="G87" s="16"/>
    </row>
    <row r="88" spans="1:7" ht="21.75" customHeight="1" x14ac:dyDescent="0.3">
      <c r="A88" s="16"/>
      <c r="B88" s="16"/>
      <c r="C88" s="16"/>
      <c r="D88" s="16"/>
      <c r="E88" s="16"/>
      <c r="F88" s="16"/>
      <c r="G88" s="16"/>
    </row>
    <row r="89" spans="1:7" ht="21.75" customHeight="1" x14ac:dyDescent="0.3">
      <c r="A89" s="16"/>
      <c r="B89" s="16"/>
      <c r="C89" s="16"/>
      <c r="D89" s="16"/>
      <c r="E89" s="16"/>
      <c r="F89" s="16"/>
      <c r="G89" s="16"/>
    </row>
    <row r="90" spans="1:7" ht="21.75" customHeight="1" x14ac:dyDescent="0.3">
      <c r="A90" s="16"/>
      <c r="B90" s="16"/>
      <c r="C90" s="16"/>
      <c r="D90" s="16"/>
      <c r="E90" s="16"/>
      <c r="F90" s="16"/>
      <c r="G90" s="16"/>
    </row>
    <row r="91" spans="1:7" ht="21.75" customHeight="1" x14ac:dyDescent="0.3">
      <c r="A91" s="16"/>
      <c r="B91" s="16"/>
      <c r="C91" s="16"/>
      <c r="D91" s="16"/>
      <c r="E91" s="16"/>
      <c r="F91" s="16"/>
      <c r="G91" s="16"/>
    </row>
    <row r="92" spans="1:7" ht="6" customHeight="1" x14ac:dyDescent="0.3">
      <c r="A92" s="16"/>
      <c r="B92" s="16"/>
      <c r="C92" s="16"/>
      <c r="D92" s="16"/>
      <c r="E92" s="16"/>
      <c r="F92" s="16"/>
      <c r="G92" s="16"/>
    </row>
  </sheetData>
  <mergeCells count="13">
    <mergeCell ref="A14:G14"/>
    <mergeCell ref="I14:O14"/>
    <mergeCell ref="Q14:W14"/>
    <mergeCell ref="A25:G25"/>
    <mergeCell ref="I25:O25"/>
    <mergeCell ref="Q25:W25"/>
    <mergeCell ref="A1:W1"/>
    <mergeCell ref="A2:C2"/>
    <mergeCell ref="E2:G2"/>
    <mergeCell ref="I2:K2"/>
    <mergeCell ref="A3:G3"/>
    <mergeCell ref="I3:O3"/>
    <mergeCell ref="Q3:W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3 - Giá Bán Đề 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trinh</dc:creator>
  <cp:lastModifiedBy>duc trinh</cp:lastModifiedBy>
  <dcterms:created xsi:type="dcterms:W3CDTF">2026-05-15T06:46:15Z</dcterms:created>
  <dcterms:modified xsi:type="dcterms:W3CDTF">2026-05-15T06:48:58Z</dcterms:modified>
</cp:coreProperties>
</file>